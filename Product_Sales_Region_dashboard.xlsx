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slicers/slicer4.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Sneha\Downloads\"/>
    </mc:Choice>
  </mc:AlternateContent>
  <xr:revisionPtr revIDLastSave="0" documentId="8_{E44CFF7B-B7C1-41DF-A40F-1411CA895A52}" xr6:coauthVersionLast="47" xr6:coauthVersionMax="47" xr10:uidLastSave="{00000000-0000-0000-0000-000000000000}"/>
  <bookViews>
    <workbookView xWindow="-110" yWindow="-110" windowWidth="19420" windowHeight="10300" activeTab="3" xr2:uid="{00000000-000D-0000-FFFF-FFFF00000000}"/>
  </bookViews>
  <sheets>
    <sheet name="Sheet2" sheetId="2" r:id="rId1"/>
    <sheet name="Sheet3" sheetId="3" r:id="rId2"/>
    <sheet name="Sheet4" sheetId="4" r:id="rId3"/>
    <sheet name="Sheet5" sheetId="5" r:id="rId4"/>
    <sheet name="Sheet1" sheetId="1" r:id="rId5"/>
  </sheets>
  <definedNames>
    <definedName name="_xlchart.v1.0" hidden="1">Sheet4!$E$40:$E$44</definedName>
    <definedName name="_xlchart.v1.1" hidden="1">Sheet4!$F$40:$F$44</definedName>
    <definedName name="Slicer_CustomerType1">#N/A</definedName>
    <definedName name="Slicer_CustomerType2">#N/A</definedName>
    <definedName name="Slicer_PaymentMethod">#N/A</definedName>
    <definedName name="Slicer_Product">#N/A</definedName>
    <definedName name="Slicer_Region">#N/A</definedName>
    <definedName name="Slicer_RegionManager">#N/A</definedName>
    <definedName name="Slicer_Years__OrderDate">#N/A</definedName>
  </definedNames>
  <calcPr calcId="191029"/>
  <pivotCaches>
    <pivotCache cacheId="69"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8" i="5" l="1"/>
  <c r="W19" i="5"/>
  <c r="W20" i="5"/>
  <c r="W21" i="5"/>
  <c r="W22" i="5"/>
  <c r="W17" i="5"/>
  <c r="V18" i="5"/>
  <c r="V19" i="5"/>
  <c r="V20" i="5"/>
  <c r="V21" i="5"/>
  <c r="V22" i="5"/>
  <c r="V17" i="5"/>
  <c r="T18" i="5"/>
  <c r="T19" i="5"/>
  <c r="T20" i="5"/>
  <c r="T21" i="5"/>
  <c r="T17" i="5"/>
  <c r="Q18" i="5"/>
  <c r="Q19" i="5"/>
  <c r="Q20" i="5"/>
  <c r="Q21" i="5"/>
  <c r="Q22" i="5"/>
  <c r="Q23" i="5"/>
  <c r="Q24" i="5"/>
  <c r="Q17" i="5"/>
  <c r="P18" i="5"/>
  <c r="P19" i="5"/>
  <c r="P20" i="5"/>
  <c r="P21" i="5"/>
  <c r="P22" i="5"/>
  <c r="P23" i="5"/>
  <c r="P24" i="5"/>
  <c r="P17" i="5"/>
  <c r="N18" i="5"/>
  <c r="N19" i="5"/>
  <c r="N20" i="5"/>
  <c r="N21" i="5"/>
  <c r="N22" i="5"/>
  <c r="N23" i="5"/>
  <c r="N17" i="5"/>
  <c r="K18" i="5"/>
  <c r="K19" i="5"/>
  <c r="K20" i="5"/>
  <c r="K21" i="5"/>
  <c r="K22" i="5"/>
  <c r="K17" i="5"/>
  <c r="J18" i="5"/>
  <c r="J19" i="5"/>
  <c r="J20" i="5"/>
  <c r="J21" i="5"/>
  <c r="J22" i="5"/>
  <c r="J17" i="5"/>
  <c r="H18" i="5"/>
  <c r="H19" i="5"/>
  <c r="H20" i="5"/>
  <c r="H21" i="5"/>
  <c r="H17" i="5"/>
  <c r="D24" i="5"/>
  <c r="E18" i="5"/>
  <c r="E19" i="5"/>
  <c r="E20" i="5"/>
  <c r="E21" i="5"/>
  <c r="E22" i="5"/>
  <c r="E23" i="5"/>
  <c r="E24" i="5"/>
  <c r="E17" i="5"/>
  <c r="D18" i="5"/>
  <c r="D19" i="5"/>
  <c r="D20" i="5"/>
  <c r="D21" i="5"/>
  <c r="D22" i="5"/>
  <c r="D23" i="5"/>
  <c r="D17" i="5"/>
  <c r="B18" i="5"/>
  <c r="B19" i="5"/>
  <c r="B20" i="5"/>
  <c r="B21" i="5"/>
  <c r="B22" i="5"/>
  <c r="B23" i="5"/>
  <c r="B17" i="5"/>
  <c r="F41" i="4"/>
  <c r="F42" i="4"/>
  <c r="F43" i="4"/>
  <c r="F44" i="4"/>
  <c r="E41" i="4"/>
  <c r="E42" i="4"/>
  <c r="E43" i="4"/>
  <c r="E44" i="4"/>
  <c r="F40" i="4"/>
  <c r="E40" i="4"/>
  <c r="G4" i="4"/>
  <c r="H4" i="4"/>
  <c r="I4" i="4" s="1"/>
  <c r="G5" i="4"/>
  <c r="H5" i="4"/>
  <c r="I5" i="4" s="1"/>
  <c r="G6" i="4"/>
  <c r="H6" i="4"/>
  <c r="I6" i="4" s="1"/>
  <c r="G7" i="4"/>
  <c r="H7" i="4"/>
  <c r="I7" i="4" s="1"/>
  <c r="G8" i="4"/>
  <c r="H8" i="4"/>
  <c r="I8" i="4" s="1"/>
  <c r="G9" i="4"/>
  <c r="H9" i="4"/>
  <c r="I9" i="4" s="1"/>
  <c r="G10" i="4"/>
  <c r="H10" i="4"/>
  <c r="I10" i="4" s="1"/>
  <c r="G11" i="4"/>
  <c r="H11" i="4"/>
  <c r="I11" i="4" s="1"/>
  <c r="G12" i="4"/>
  <c r="H12" i="4"/>
  <c r="I12" i="4" s="1"/>
  <c r="G13" i="4"/>
  <c r="H13" i="4"/>
  <c r="I13" i="4" s="1"/>
  <c r="F8" i="4"/>
  <c r="F12" i="4"/>
  <c r="F4" i="4"/>
  <c r="F5" i="2"/>
  <c r="E5" i="2"/>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3" i="1"/>
  <c r="Y4" i="1"/>
  <c r="Y5" i="1"/>
  <c r="Y2"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3" i="1"/>
  <c r="X4" i="1"/>
  <c r="X5" i="1"/>
  <c r="X6" i="1"/>
  <c r="X7" i="1"/>
  <c r="X8" i="1"/>
  <c r="X9" i="1"/>
  <c r="X10" i="1"/>
  <c r="X11" i="1"/>
  <c r="X12" i="1"/>
  <c r="X13" i="1"/>
  <c r="X14" i="1"/>
  <c r="X15" i="1"/>
  <c r="X2"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3" i="1"/>
  <c r="W4" i="1"/>
  <c r="W5" i="1"/>
  <c r="W6" i="1"/>
  <c r="W7" i="1"/>
  <c r="W8" i="1"/>
  <c r="W9"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2" i="1"/>
  <c r="F18" i="5" l="1"/>
  <c r="F23" i="5"/>
  <c r="F22" i="5"/>
  <c r="F21" i="5"/>
  <c r="F24" i="5"/>
  <c r="F20" i="5"/>
  <c r="F19" i="5"/>
  <c r="X22" i="5"/>
  <c r="R22" i="5"/>
  <c r="X21" i="5"/>
  <c r="R17" i="5"/>
  <c r="X20" i="5"/>
  <c r="X19" i="5"/>
  <c r="R19" i="5"/>
  <c r="X18" i="5"/>
  <c r="R24" i="5"/>
  <c r="X17" i="5"/>
  <c r="R20" i="5"/>
  <c r="R18" i="5"/>
  <c r="R23" i="5"/>
  <c r="R21" i="5"/>
  <c r="L22" i="5"/>
  <c r="F17" i="5"/>
  <c r="L21" i="5"/>
  <c r="L20" i="5"/>
  <c r="L19" i="5"/>
  <c r="L18" i="5"/>
  <c r="L17" i="5"/>
</calcChain>
</file>

<file path=xl/sharedStrings.xml><?xml version="1.0" encoding="utf-8"?>
<sst xmlns="http://schemas.openxmlformats.org/spreadsheetml/2006/main" count="14758" uniqueCount="2956">
  <si>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</si>
  <si>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</si>
  <si>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</si>
  <si>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</si>
  <si>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</si>
  <si>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</si>
  <si>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</si>
  <si>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</si>
  <si>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</si>
  <si>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</si>
  <si>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</si>
  <si>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</si>
  <si>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</si>
  <si>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</si>
  <si>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</si>
  <si>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</si>
  <si>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</si>
  <si>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</si>
  <si>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</si>
  <si>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</si>
  <si>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</si>
  <si>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</si>
  <si>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</si>
  <si>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</si>
  <si>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</si>
  <si>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</si>
  <si>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</si>
  <si>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</si>
  <si>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</si>
  <si>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</si>
  <si>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</si>
  <si>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</si>
  <si>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</si>
  <si>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</si>
  <si>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</si>
  <si>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</si>
  <si>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</si>
  <si>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</si>
  <si>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</si>
  <si>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</si>
  <si>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</si>
  <si>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</si>
  <si>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</si>
  <si>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</si>
  <si>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</si>
  <si>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</si>
  <si>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</si>
  <si>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</si>
  <si>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</si>
  <si>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</si>
  <si>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</si>
  <si>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</si>
  <si>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</si>
  <si>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</si>
  <si>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</si>
  <si>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</si>
  <si>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</si>
  <si>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</si>
  <si>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</si>
  <si>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</si>
  <si>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</si>
  <si>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</si>
  <si>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</si>
  <si>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</si>
  <si>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</si>
  <si>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</si>
  <si>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</si>
  <si>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</si>
  <si>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</si>
  <si>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</si>
  <si>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</si>
  <si>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</si>
  <si>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</si>
  <si>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</si>
  <si>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</si>
  <si>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</si>
  <si>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</si>
  <si>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</si>
  <si>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</si>
  <si>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</si>
  <si>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</si>
  <si>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</si>
  <si>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</si>
  <si>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</si>
  <si>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</si>
  <si>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</si>
  <si>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</si>
  <si>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</si>
  <si>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</si>
  <si>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</si>
  <si>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</si>
  <si>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</si>
  <si>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</si>
  <si>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</si>
  <si>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</si>
  <si>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</si>
  <si>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</si>
  <si>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</si>
  <si>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</si>
  <si>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</si>
  <si>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</si>
  <si>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</si>
  <si>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</si>
  <si>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</si>
  <si>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</si>
  <si>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</si>
  <si>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</si>
  <si>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</si>
  <si>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</si>
  <si>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</si>
  <si>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</si>
  <si>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</si>
  <si>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</si>
  <si>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</si>
  <si>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</si>
  <si>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</si>
  <si>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</si>
  <si>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</si>
  <si>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</si>
  <si>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</si>
  <si>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</si>
  <si>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</si>
  <si>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</si>
  <si>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</si>
  <si>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</si>
  <si>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</si>
  <si>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</si>
  <si>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</si>
  <si>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</si>
  <si>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</si>
  <si>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</si>
  <si>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</si>
  <si>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</si>
  <si>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</si>
  <si>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</si>
  <si>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</si>
  <si>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</si>
  <si>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</si>
  <si>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</si>
  <si>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</si>
  <si>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</si>
  <si>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</si>
  <si>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</si>
  <si>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</si>
  <si>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</si>
  <si>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</si>
  <si>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</si>
  <si>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</si>
  <si>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</si>
  <si>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</si>
  <si>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</si>
  <si>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</si>
  <si>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</si>
  <si>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</si>
  <si>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</si>
  <si>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</si>
  <si>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</si>
  <si>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</si>
  <si>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</si>
  <si>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</si>
  <si>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</si>
  <si>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</si>
  <si>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</si>
  <si>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</si>
  <si>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</si>
  <si>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</si>
  <si>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</si>
  <si>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</si>
  <si>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</si>
  <si>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</si>
  <si>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</si>
  <si>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</si>
  <si>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</si>
  <si>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</si>
  <si>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</si>
  <si>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</si>
  <si>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</si>
  <si>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</si>
  <si>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</si>
  <si>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</si>
  <si>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</si>
  <si>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</si>
  <si>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</si>
  <si>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</si>
  <si>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</si>
  <si>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</si>
  <si>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</si>
  <si>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</si>
  <si>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</si>
  <si>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</si>
  <si>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</si>
  <si>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</si>
  <si>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</si>
  <si>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</si>
  <si>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</si>
  <si>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</si>
  <si>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</si>
  <si>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</si>
  <si>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</si>
  <si>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</si>
  <si>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</si>
  <si>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</si>
  <si>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</si>
  <si>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</si>
  <si>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</si>
  <si>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</si>
  <si>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</si>
  <si>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</si>
  <si>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</si>
  <si>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</si>
  <si>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</si>
  <si>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</si>
  <si>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</si>
  <si>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</si>
  <si>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</si>
  <si>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</si>
  <si>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</si>
  <si>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</si>
  <si>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</si>
  <si>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</si>
  <si>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</si>
  <si>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</si>
  <si>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</si>
  <si>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</si>
  <si>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</si>
  <si>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</si>
  <si>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</si>
  <si>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</si>
  <si>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</si>
  <si>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</si>
  <si>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</si>
  <si>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</si>
  <si>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</si>
  <si>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</si>
  <si>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</si>
  <si>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</si>
  <si>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</si>
  <si>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</si>
  <si>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</si>
  <si>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</si>
  <si>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</si>
  <si>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</si>
  <si>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</si>
  <si>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</si>
  <si>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</si>
  <si>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</si>
  <si>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</si>
  <si>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</si>
  <si>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</si>
  <si>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</si>
  <si>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</si>
  <si>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</si>
  <si>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</si>
  <si>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</si>
  <si>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</si>
  <si>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</si>
  <si>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</si>
  <si>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</si>
  <si>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</si>
  <si>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</si>
  <si>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</si>
  <si>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</si>
  <si>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</si>
  <si>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</si>
  <si>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</si>
  <si>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</si>
  <si>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</si>
  <si>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</si>
  <si>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</si>
  <si>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</si>
  <si>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</si>
  <si>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</si>
  <si>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</si>
  <si>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</si>
  <si>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</si>
  <si>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</si>
  <si>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</si>
  <si>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</si>
  <si>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</si>
  <si>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</si>
  <si>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</si>
  <si>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</si>
  <si>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</si>
  <si>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</si>
  <si>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</si>
  <si>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</si>
  <si>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</si>
  <si>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</si>
  <si>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</si>
  <si>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</si>
  <si>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</si>
  <si>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</si>
  <si>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</si>
  <si>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</si>
  <si>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</si>
  <si>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</si>
  <si>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</si>
  <si>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</si>
  <si>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</si>
  <si>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</si>
  <si>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</si>
  <si>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</si>
  <si>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</si>
  <si>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</si>
  <si>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</si>
  <si>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</si>
  <si>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</si>
  <si>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</si>
  <si>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</si>
  <si>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</si>
  <si>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</si>
  <si>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</si>
  <si>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</si>
  <si>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</si>
  <si>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</si>
  <si>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</si>
  <si>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</si>
  <si>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</si>
  <si>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</si>
  <si>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</si>
  <si>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</si>
  <si>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</si>
  <si>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</si>
  <si>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</si>
  <si>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</si>
  <si>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</si>
  <si>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</si>
  <si>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</si>
  <si>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</si>
  <si>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</si>
  <si>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</si>
  <si>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</si>
  <si>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</si>
  <si>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</si>
  <si>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</si>
  <si>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</si>
  <si>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</si>
  <si>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</si>
  <si>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</si>
  <si>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</si>
  <si>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</si>
  <si>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</si>
  <si>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</si>
  <si>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</si>
  <si>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</si>
  <si>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</si>
  <si>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</si>
  <si>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</si>
  <si>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</si>
  <si>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</si>
  <si>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</si>
  <si>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</si>
  <si>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</si>
  <si>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</si>
  <si>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</si>
  <si>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</si>
  <si>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</si>
  <si>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</si>
  <si>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</si>
  <si>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</si>
  <si>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</si>
  <si>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</si>
  <si>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</si>
  <si>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</si>
  <si>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</si>
  <si>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</si>
  <si>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</si>
  <si>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</si>
  <si>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</si>
  <si>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</si>
  <si>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</si>
  <si>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</si>
  <si>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</si>
  <si>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</si>
  <si>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</si>
  <si>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</si>
  <si>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</si>
  <si>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</si>
  <si>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</si>
  <si>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</si>
  <si>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</si>
  <si>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</si>
  <si>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</si>
  <si>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</si>
  <si>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</si>
  <si>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</si>
  <si>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</si>
  <si>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</si>
  <si>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</si>
  <si>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</si>
  <si>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</si>
  <si>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</si>
  <si>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</si>
  <si>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</si>
  <si>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</si>
  <si>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</si>
  <si>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</si>
  <si>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</si>
  <si>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</si>
  <si>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</si>
  <si>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</si>
  <si>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</si>
  <si>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</si>
  <si>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</si>
  <si>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</si>
  <si>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</si>
  <si>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</si>
  <si>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</si>
  <si>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</si>
  <si>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</si>
  <si>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</si>
  <si>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</si>
  <si>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</si>
  <si>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</si>
  <si>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</si>
  <si>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</si>
  <si>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</si>
  <si>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</si>
  <si>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</si>
  <si>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</si>
  <si>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</si>
  <si>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</si>
  <si>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</si>
  <si>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</si>
  <si>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</si>
  <si>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</si>
  <si>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</si>
  <si>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</si>
  <si>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</si>
  <si>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</si>
  <si>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</si>
  <si>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</si>
  <si>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</si>
  <si>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</si>
  <si>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</si>
  <si>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</si>
  <si>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</si>
  <si>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</si>
  <si>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</si>
  <si>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</si>
  <si>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</si>
  <si>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</si>
  <si>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</si>
  <si>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</si>
  <si>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</si>
  <si>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</si>
  <si>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</si>
  <si>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</si>
  <si>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</si>
  <si>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</si>
  <si>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</si>
  <si>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</si>
  <si>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</si>
  <si>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</si>
  <si>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</si>
  <si>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</si>
  <si>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</si>
  <si>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</si>
  <si>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</si>
  <si>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</si>
  <si>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</si>
  <si>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</si>
  <si>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</si>
  <si>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</si>
  <si>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</si>
  <si>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</si>
  <si>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</si>
  <si>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</si>
  <si>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</si>
  <si>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</si>
  <si>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</si>
  <si>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</si>
  <si>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</si>
  <si>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</si>
  <si>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</si>
  <si>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</si>
  <si>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</si>
  <si>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</si>
  <si>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</si>
  <si>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</si>
  <si>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</si>
  <si>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</si>
  <si>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</si>
  <si>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</si>
  <si>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</si>
  <si>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</si>
  <si>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</si>
  <si>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</si>
  <si>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</si>
  <si>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</si>
  <si>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</si>
  <si>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</si>
  <si>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</si>
  <si>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</si>
  <si>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</si>
  <si>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</si>
  <si>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</si>
  <si>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</si>
  <si>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</si>
  <si>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</si>
  <si>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</si>
  <si>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</si>
  <si>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</si>
  <si>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</si>
  <si>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</si>
  <si>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</si>
  <si>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</si>
  <si>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</si>
  <si>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</si>
  <si>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</si>
  <si>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</si>
  <si>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</si>
  <si>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</si>
  <si>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</si>
  <si>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</si>
  <si>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</si>
  <si>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</si>
  <si>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</si>
  <si>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</si>
  <si>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</si>
  <si>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</si>
  <si>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</si>
  <si>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</si>
  <si>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</si>
  <si>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</si>
  <si>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</si>
  <si>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</si>
  <si>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</si>
  <si>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</si>
  <si>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</si>
  <si>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</si>
  <si>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</si>
  <si>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</si>
  <si>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</si>
  <si>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</si>
  <si>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</si>
  <si>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</si>
  <si>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</si>
  <si>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</si>
  <si>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</si>
  <si>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</si>
  <si>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</si>
  <si>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</si>
  <si>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</si>
  <si>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</si>
  <si>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</si>
  <si>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</si>
  <si>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</si>
  <si>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</si>
  <si>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</si>
  <si>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</si>
  <si>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</si>
  <si>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</si>
  <si>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</si>
  <si>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</si>
  <si>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</si>
  <si>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</si>
  <si>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</si>
  <si>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</si>
  <si>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</si>
  <si>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</si>
  <si>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</si>
  <si>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</si>
  <si>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</si>
  <si>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</si>
  <si>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</si>
  <si>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</si>
  <si>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</si>
  <si>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</si>
  <si>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</si>
  <si>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</si>
  <si>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</si>
  <si>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</si>
  <si>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</si>
  <si>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</si>
  <si>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</si>
  <si>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</si>
  <si>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</si>
  <si>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</si>
  <si>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</si>
  <si>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</si>
  <si>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</si>
  <si>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</si>
  <si>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</si>
  <si>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</si>
  <si>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</si>
  <si>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</si>
  <si>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</si>
  <si>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</si>
  <si>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</si>
  <si>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</si>
  <si>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</si>
  <si>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</si>
  <si>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</si>
  <si>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</si>
  <si>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</si>
  <si>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</si>
  <si>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</si>
  <si>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</si>
  <si>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</si>
  <si>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</si>
  <si>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</si>
  <si>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</si>
  <si>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</si>
  <si>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</si>
  <si>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</si>
  <si>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</si>
  <si>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</si>
  <si>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</si>
  <si>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</si>
  <si>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</si>
  <si>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</si>
  <si>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</si>
  <si>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</si>
  <si>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</si>
  <si>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</si>
  <si>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</si>
  <si>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</si>
  <si>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</si>
  <si>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</si>
  <si>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</si>
  <si>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</si>
  <si>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</si>
  <si>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</si>
  <si>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</si>
  <si>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</si>
  <si>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</si>
  <si>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</si>
  <si>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</si>
  <si>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</si>
  <si>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</si>
  <si>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</si>
  <si>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</si>
  <si>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</si>
  <si>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</si>
  <si>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</si>
  <si>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</si>
  <si>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</si>
  <si>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</si>
  <si>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</si>
  <si>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</si>
  <si>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</si>
  <si>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</si>
  <si>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</si>
  <si>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</si>
  <si>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</si>
  <si>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</si>
  <si>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</si>
  <si>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</si>
  <si>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</si>
  <si>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</si>
  <si>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</si>
  <si>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</si>
  <si>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</si>
  <si>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</si>
  <si>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</si>
  <si>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</si>
  <si>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</si>
  <si>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</si>
  <si>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</si>
  <si>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</si>
  <si>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</si>
  <si>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</si>
  <si>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</si>
  <si>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</si>
  <si>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</si>
  <si>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</si>
  <si>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</si>
  <si>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</si>
  <si>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</si>
  <si>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</si>
  <si>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</si>
  <si>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</si>
  <si>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</si>
  <si>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</si>
  <si>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</si>
  <si>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</si>
  <si>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</si>
  <si>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</si>
  <si>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</si>
  <si>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</si>
  <si>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</si>
  <si>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</si>
  <si>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</si>
  <si>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</si>
  <si>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</si>
  <si>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</si>
  <si>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</si>
  <si>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</si>
  <si>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</si>
  <si>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</si>
  <si>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</si>
  <si>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</si>
  <si>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</si>
  <si>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</si>
  <si>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</si>
  <si>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</si>
  <si>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</si>
  <si>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</si>
  <si>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</si>
  <si>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</si>
  <si>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</si>
  <si>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</si>
  <si>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</si>
  <si>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</si>
  <si>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</si>
  <si>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</si>
  <si>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</si>
  <si>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</si>
  <si>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</si>
  <si>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</si>
  <si>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</si>
  <si>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</si>
  <si>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</si>
  <si>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</si>
  <si>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</si>
  <si>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</si>
  <si>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</si>
  <si>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</si>
  <si>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</si>
  <si>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</si>
  <si>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</si>
  <si>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</si>
  <si>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</si>
  <si>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</si>
  <si>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</si>
  <si>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</si>
  <si>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</si>
  <si>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</si>
  <si>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</si>
  <si>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</si>
  <si>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</si>
  <si>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</si>
  <si>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</si>
  <si>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</si>
  <si>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</si>
  <si>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</si>
  <si>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</si>
  <si>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</si>
  <si>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</si>
  <si>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</si>
  <si>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</si>
  <si>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</si>
  <si>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</si>
  <si>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</si>
  <si>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</si>
  <si>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</si>
  <si>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</si>
  <si>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</si>
  <si>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</si>
  <si>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</si>
  <si>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</si>
  <si>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</si>
  <si>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</si>
  <si>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</si>
  <si>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</si>
  <si>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</si>
  <si>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</si>
  <si>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</si>
  <si>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</si>
  <si>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</si>
  <si>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</si>
  <si>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</si>
  <si>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</si>
  <si>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</si>
  <si>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</si>
  <si>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</si>
  <si>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</si>
  <si>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</si>
  <si>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</si>
  <si>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</si>
  <si>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</si>
  <si>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</si>
  <si>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</si>
  <si>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</si>
  <si>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</si>
  <si>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</si>
  <si>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</si>
  <si>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</si>
  <si>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</si>
  <si>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</si>
  <si>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</si>
  <si>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</si>
  <si>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</si>
  <si>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</si>
  <si>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</si>
  <si>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</si>
  <si>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</si>
  <si>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</si>
  <si>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</si>
  <si>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</si>
  <si>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</si>
  <si>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</si>
  <si>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</si>
  <si>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</si>
  <si>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</si>
  <si>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</si>
  <si>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</si>
  <si>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</si>
  <si>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</si>
  <si>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</si>
  <si>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</si>
  <si>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</si>
  <si>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</si>
  <si>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</si>
  <si>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</si>
  <si>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</si>
  <si>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</si>
  <si>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</si>
  <si>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</si>
  <si>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</si>
  <si>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</si>
  <si>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</si>
  <si>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</si>
  <si>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</si>
  <si>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</si>
  <si>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</si>
  <si>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</si>
  <si>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</si>
  <si>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</si>
  <si>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</si>
  <si>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</si>
  <si>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</si>
  <si>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</si>
  <si>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</si>
  <si>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</si>
  <si>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</si>
  <si>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</si>
  <si>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</si>
  <si>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</si>
  <si>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</si>
  <si>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</si>
  <si>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</si>
  <si>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</si>
  <si>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</si>
  <si>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</si>
  <si>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</si>
  <si>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</si>
  <si>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</si>
  <si>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</si>
  <si>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</si>
  <si>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</si>
  <si>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</si>
  <si>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</si>
  <si>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</si>
  <si>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</si>
  <si>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</si>
  <si>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</si>
  <si>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</si>
  <si>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</si>
  <si>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</si>
  <si>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</si>
  <si>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</si>
  <si>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</si>
  <si>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</si>
  <si>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</si>
  <si>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</si>
  <si>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</si>
  <si>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</si>
  <si>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</si>
  <si>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</si>
  <si>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</si>
  <si>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</si>
  <si>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</si>
  <si>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</si>
  <si>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</si>
  <si>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</si>
  <si>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</si>
  <si>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</si>
  <si>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</si>
  <si>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</si>
  <si>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</si>
  <si>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</si>
  <si>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</si>
  <si>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</si>
  <si>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</si>
  <si>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</si>
  <si>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</si>
  <si>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</si>
  <si>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</si>
  <si>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</si>
  <si>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</si>
  <si>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</si>
  <si>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</si>
  <si>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</si>
  <si>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</si>
  <si>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</si>
  <si>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</si>
  <si>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</si>
  <si>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</si>
  <si>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</si>
  <si>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</si>
  <si>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</si>
  <si>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</si>
  <si>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</si>
  <si>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</si>
  <si>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</si>
  <si>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</si>
  <si>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</si>
  <si>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</si>
  <si>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</si>
  <si>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</si>
  <si>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</si>
  <si>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</si>
  <si>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</si>
  <si>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</si>
  <si>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</si>
  <si>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</si>
  <si>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</si>
  <si>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</si>
  <si>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</si>
  <si>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</si>
  <si>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</si>
  <si>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</si>
  <si>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</si>
  <si>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</si>
  <si>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</si>
  <si>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</si>
  <si>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</si>
  <si>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</si>
  <si>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</si>
  <si>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</si>
  <si>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</si>
  <si>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</si>
  <si>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</si>
  <si>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</si>
  <si>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</si>
  <si>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</si>
  <si>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</si>
  <si>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</si>
  <si>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</si>
  <si>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</si>
  <si>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</si>
  <si>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</si>
  <si>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</si>
  <si>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</si>
  <si>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</si>
  <si>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</si>
  <si>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</si>
  <si>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</si>
  <si>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</si>
  <si>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</si>
  <si>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</si>
  <si>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</si>
  <si>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</si>
  <si>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</si>
  <si>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</si>
  <si>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</si>
  <si>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</si>
  <si>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</si>
  <si>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</si>
  <si>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</si>
  <si>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</si>
  <si>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</si>
  <si>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</si>
  <si>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</si>
  <si>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</si>
  <si>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</si>
  <si>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</si>
  <si>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</si>
  <si>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</si>
  <si>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</si>
  <si>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</si>
  <si>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</si>
  <si>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</si>
  <si>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</si>
  <si>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</si>
  <si>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</si>
  <si>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</si>
  <si>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</si>
  <si>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</si>
  <si>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</si>
  <si>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</si>
  <si>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</si>
  <si>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</si>
  <si>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</si>
  <si>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</si>
  <si>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</si>
  <si>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</si>
  <si>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</si>
  <si>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</si>
  <si>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</si>
  <si>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</si>
  <si>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</si>
  <si>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</si>
  <si>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</si>
  <si>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</si>
  <si>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</si>
  <si>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</si>
  <si>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</si>
  <si>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</si>
  <si>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</si>
  <si>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</si>
  <si>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</si>
  <si>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</si>
  <si>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</si>
  <si>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</si>
  <si>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</si>
  <si>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</si>
  <si>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</si>
  <si>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</si>
  <si>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</si>
  <si>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</si>
  <si>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</si>
  <si>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</si>
  <si>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</si>
  <si>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</si>
  <si>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</si>
  <si>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</si>
  <si>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</si>
  <si>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</si>
  <si>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</si>
  <si>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</si>
  <si>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</si>
  <si>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</si>
  <si>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</si>
  <si>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</si>
  <si>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</si>
  <si>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</si>
  <si>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</si>
  <si>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</si>
  <si>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</si>
  <si>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</si>
  <si>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</si>
  <si>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</si>
  <si>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</si>
  <si>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</si>
  <si>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</si>
  <si>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</si>
  <si>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</si>
  <si>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</si>
  <si>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</si>
  <si>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</si>
  <si>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</si>
  <si>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</si>
  <si>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</si>
  <si>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</si>
  <si>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</si>
  <si>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</si>
  <si>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</si>
  <si>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</si>
  <si>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</si>
  <si>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</si>
  <si>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</si>
  <si>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</si>
  <si>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</si>
  <si>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</si>
  <si>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</si>
  <si>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</si>
  <si>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</si>
  <si>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</si>
  <si>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</si>
  <si>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</si>
  <si>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</si>
  <si>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</si>
  <si>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</si>
  <si>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</si>
  <si>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</si>
  <si>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</si>
  <si>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</si>
  <si>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</si>
  <si>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</si>
  <si>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</si>
  <si>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</si>
  <si>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</si>
  <si>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</si>
  <si>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</si>
  <si>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</si>
  <si>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</si>
  <si>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</si>
  <si>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</si>
  <si>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</si>
  <si>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</si>
  <si>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</si>
  <si>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</si>
  <si>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</si>
  <si>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</si>
  <si>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</si>
  <si>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</si>
  <si>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</si>
  <si>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</si>
  <si>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</si>
  <si>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</si>
  <si>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</si>
  <si>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</si>
  <si>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</si>
  <si>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</si>
  <si>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</si>
  <si>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</si>
  <si>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</si>
  <si>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</si>
  <si>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</si>
  <si>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</si>
  <si>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</si>
  <si>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</si>
  <si>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</si>
  <si>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</si>
  <si>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</si>
  <si>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</si>
  <si>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</si>
  <si>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</si>
  <si>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</si>
  <si>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</si>
  <si>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</si>
  <si>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</si>
  <si>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</si>
  <si>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</si>
  <si>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</si>
  <si>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</si>
  <si>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</si>
  <si>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</si>
  <si>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</si>
  <si>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</si>
  <si>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</si>
  <si>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</si>
  <si>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</si>
  <si>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</si>
  <si>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</si>
  <si>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</si>
  <si>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</si>
  <si>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</si>
  <si>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</si>
  <si>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</si>
  <si>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</si>
  <si>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</si>
  <si>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</si>
  <si>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</si>
  <si>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</si>
  <si>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</si>
  <si>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</si>
  <si>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</si>
  <si>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</si>
  <si>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</si>
  <si>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</si>
  <si>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</si>
  <si>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</si>
  <si>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</si>
  <si>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</si>
  <si>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</si>
  <si>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</si>
  <si>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</si>
  <si>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</si>
  <si>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</si>
  <si>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</si>
  <si>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</si>
  <si>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</si>
  <si>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</si>
  <si>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</si>
  <si>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</si>
  <si>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</si>
  <si>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</si>
  <si>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</si>
  <si>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</si>
  <si>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</si>
  <si>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</si>
  <si>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</si>
  <si>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</si>
  <si>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</si>
  <si>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</si>
  <si>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</si>
  <si>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</si>
  <si>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</si>
  <si>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</si>
  <si>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</si>
  <si>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</si>
  <si>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</si>
  <si>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</si>
  <si>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</si>
  <si>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</si>
  <si>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</si>
  <si>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</si>
  <si>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</si>
  <si>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</si>
  <si>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</si>
  <si>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</si>
  <si>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</si>
  <si>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</si>
  <si>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</si>
  <si>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</si>
  <si>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</si>
  <si>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</si>
  <si>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</si>
  <si>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</si>
  <si>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</si>
  <si>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</si>
  <si>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</si>
  <si>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</si>
  <si>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</si>
  <si>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</si>
  <si>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</si>
  <si>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</si>
  <si>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</si>
  <si>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</si>
  <si>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</si>
  <si>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</si>
  <si>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</si>
  <si>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</si>
  <si>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</si>
  <si>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</si>
  <si>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</si>
  <si>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</si>
  <si>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</si>
  <si>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</si>
  <si>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</si>
  <si>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</si>
  <si>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</si>
  <si>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</si>
  <si>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</si>
  <si>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</si>
  <si>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</si>
  <si>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</si>
  <si>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</si>
  <si>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</si>
  <si>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</si>
  <si>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</si>
  <si>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</si>
  <si>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</si>
  <si>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</si>
  <si>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</si>
  <si>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</si>
  <si>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</si>
  <si>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</si>
  <si>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</si>
  <si>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</si>
  <si>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</si>
  <si>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</si>
  <si>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</si>
  <si>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</si>
  <si>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</si>
  <si>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</si>
  <si>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</si>
  <si>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</si>
  <si>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</si>
  <si>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</si>
  <si>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</si>
  <si>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</si>
  <si>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</si>
  <si>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</si>
  <si>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</si>
  <si>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</si>
  <si>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</si>
  <si>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</si>
  <si>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</si>
  <si>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</si>
  <si>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</si>
  <si>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</si>
  <si>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</si>
  <si>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</si>
  <si>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</si>
  <si>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</si>
  <si>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</si>
  <si>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</si>
  <si>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</si>
  <si>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</si>
  <si>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</si>
  <si>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</si>
  <si>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</si>
  <si>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</si>
  <si>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</si>
  <si>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</si>
  <si>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</si>
  <si>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</si>
  <si>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</si>
  <si>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</si>
  <si>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</si>
  <si>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</si>
  <si>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</si>
  <si>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</si>
  <si>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</si>
  <si>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</si>
  <si>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</si>
  <si>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</si>
  <si>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</si>
  <si>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</si>
  <si>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</si>
  <si>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</si>
  <si>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</si>
  <si>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</si>
  <si>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</si>
  <si>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</si>
  <si>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</si>
  <si>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</si>
  <si>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</si>
  <si>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</si>
  <si>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</si>
  <si>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</si>
  <si>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</si>
  <si>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</si>
  <si>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</si>
  <si>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</si>
  <si>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</si>
  <si>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</si>
  <si>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</si>
  <si>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</si>
  <si>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</si>
  <si>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</si>
  <si>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</si>
  <si>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</si>
  <si>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</si>
  <si>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</si>
  <si>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</si>
  <si>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</si>
  <si>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</si>
  <si>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</si>
  <si>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</si>
  <si>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</si>
  <si>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</si>
  <si>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</si>
  <si>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</si>
  <si>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</si>
  <si>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</si>
  <si>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</si>
  <si>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</si>
  <si>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</si>
  <si>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</si>
  <si>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</si>
  <si>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</si>
  <si>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</si>
  <si>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</si>
  <si>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</si>
  <si>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</si>
  <si>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</si>
  <si>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</si>
  <si>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</si>
  <si>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</si>
  <si>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</si>
  <si>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</si>
  <si>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</si>
  <si>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</si>
  <si>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</si>
  <si>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</si>
  <si>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</si>
  <si>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</si>
  <si>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</si>
  <si>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</si>
  <si>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</si>
  <si>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</si>
  <si>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</si>
  <si>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</si>
  <si>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</si>
  <si>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</si>
  <si>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</si>
  <si>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</si>
  <si>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</si>
  <si>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</si>
  <si>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</si>
  <si>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</si>
  <si>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</si>
  <si>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</si>
  <si>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</si>
  <si>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</si>
  <si>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</si>
  <si>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</si>
  <si>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</si>
  <si>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</si>
  <si>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</si>
  <si>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</si>
  <si>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</si>
  <si>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</si>
  <si>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</si>
  <si>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</si>
  <si>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</si>
  <si>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</si>
  <si>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</si>
  <si>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</si>
  <si>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</si>
  <si>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</si>
  <si>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</si>
  <si>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</si>
  <si>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</si>
  <si>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</si>
  <si>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</si>
  <si>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</si>
  <si>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</si>
  <si>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</si>
  <si>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</si>
  <si>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</si>
  <si>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</si>
  <si>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</si>
  <si>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</si>
  <si>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</si>
  <si>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</si>
  <si>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</si>
  <si>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</si>
  <si>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</si>
  <si>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</si>
  <si>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</si>
  <si>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</si>
  <si>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</si>
  <si>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</si>
  <si>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</si>
  <si>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</si>
  <si>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</si>
  <si>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</si>
  <si>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</si>
  <si>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</si>
  <si>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</si>
  <si>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</si>
  <si>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</si>
  <si>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</si>
  <si>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</si>
  <si>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</si>
  <si>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</si>
  <si>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</si>
  <si>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</si>
  <si>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</si>
  <si>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</si>
  <si>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</si>
  <si>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</si>
  <si>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</si>
  <si>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</si>
  <si>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</si>
  <si>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</si>
  <si>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</si>
  <si>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</si>
  <si>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</si>
  <si>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</si>
  <si>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</si>
  <si>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</si>
  <si>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</si>
  <si>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</si>
  <si>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</si>
  <si>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</si>
  <si>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</si>
  <si>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</si>
  <si>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</si>
  <si>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</si>
  <si>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</si>
  <si>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</si>
  <si>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</si>
  <si>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</si>
  <si>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</si>
  <si>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</si>
  <si>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</si>
  <si>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</si>
  <si>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</si>
  <si>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</si>
  <si>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</si>
  <si>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</si>
  <si>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</si>
  <si>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</si>
  <si>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</si>
  <si>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</si>
  <si>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</si>
  <si>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</si>
  <si>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</si>
  <si>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</si>
  <si>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</si>
  <si>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</si>
  <si>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</si>
  <si>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</si>
  <si>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</si>
  <si>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</si>
  <si>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</si>
  <si>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</si>
  <si>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</si>
  <si>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</si>
  <si>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</si>
  <si>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</si>
  <si>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</si>
  <si>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</si>
  <si>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</si>
  <si>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</si>
  <si>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</si>
  <si>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</si>
  <si>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</si>
  <si>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</si>
  <si>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</si>
  <si>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</si>
  <si>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</si>
  <si>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</si>
  <si>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</si>
  <si>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</si>
  <si>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</si>
  <si>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</si>
  <si>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</si>
  <si>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</si>
  <si>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</si>
  <si>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</si>
  <si>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</si>
  <si>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</si>
  <si>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</si>
  <si>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</si>
  <si>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</si>
  <si>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</si>
  <si>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</si>
  <si>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</si>
  <si>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</si>
  <si>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</si>
  <si>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</si>
  <si>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</si>
  <si>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</si>
  <si>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</si>
  <si>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</si>
  <si>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</si>
  <si>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</si>
  <si>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</si>
  <si>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</si>
  <si>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</si>
  <si>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</si>
  <si>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</si>
  <si>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</si>
  <si>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</si>
  <si>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</si>
  <si>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</si>
  <si>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</si>
  <si>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</si>
  <si>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</si>
  <si>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</si>
  <si>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</si>
  <si>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</si>
  <si>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</si>
  <si>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</si>
  <si>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</si>
  <si>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</si>
  <si>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</si>
  <si>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</si>
  <si>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</si>
  <si>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</si>
  <si>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</si>
  <si>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</si>
  <si>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</si>
  <si>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</si>
  <si>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</si>
  <si>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</si>
  <si>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</si>
  <si>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</si>
  <si>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</si>
  <si>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</si>
  <si>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</si>
  <si>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</si>
  <si>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</si>
  <si>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</si>
  <si>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</si>
  <si>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</si>
  <si>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</si>
  <si>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</si>
  <si>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</si>
  <si>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</si>
  <si>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</si>
  <si>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</si>
  <si>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</si>
  <si>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</si>
  <si>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</si>
  <si>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</si>
  <si>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</si>
  <si>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</si>
  <si>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</si>
  <si>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</si>
  <si>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</si>
  <si>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</si>
  <si>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</si>
  <si>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</si>
  <si>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</si>
  <si>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</si>
  <si>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</si>
  <si>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</si>
  <si>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</si>
  <si>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</si>
  <si>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</si>
  <si>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</si>
  <si>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</si>
  <si>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</si>
  <si>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</si>
  <si>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</si>
  <si>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</si>
  <si>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</si>
  <si>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</si>
  <si>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</si>
  <si>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</si>
  <si>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</si>
  <si>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</si>
  <si>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</si>
  <si>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</si>
  <si>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</si>
  <si>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</si>
  <si>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</si>
  <si>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</si>
  <si>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</si>
  <si>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</si>
  <si>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</si>
  <si>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</si>
  <si>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</si>
  <si>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</si>
  <si>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</si>
  <si>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</si>
  <si>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</si>
  <si>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</si>
  <si>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</si>
  <si>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</si>
  <si>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</si>
  <si>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</si>
  <si>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</si>
  <si>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</si>
  <si>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</si>
  <si>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</si>
  <si>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</si>
  <si>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</si>
  <si>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</si>
  <si>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</si>
  <si>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</si>
  <si>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</si>
  <si>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</si>
  <si>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</si>
  <si>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</si>
  <si>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</si>
  <si>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</si>
  <si>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</si>
  <si>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</si>
  <si>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</si>
  <si>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</si>
  <si>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</si>
  <si>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</si>
  <si>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</si>
  <si>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</si>
  <si>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</si>
  <si>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</si>
  <si>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</si>
  <si>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</si>
  <si>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</si>
  <si>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</si>
  <si>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</si>
  <si>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</si>
  <si>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</si>
  <si>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</si>
  <si>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</si>
  <si>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</si>
  <si>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</si>
  <si>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</si>
  <si>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</si>
  <si>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</si>
  <si>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</si>
  <si>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</si>
  <si>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</si>
  <si>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</si>
  <si>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</si>
  <si>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</si>
  <si>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</si>
  <si>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</si>
  <si>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</si>
  <si>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</si>
  <si>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</si>
  <si>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</si>
  <si>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</si>
  <si>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</si>
  <si>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</si>
  <si>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</si>
  <si>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</si>
  <si>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</si>
  <si>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</si>
  <si>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</si>
  <si>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</si>
  <si>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</si>
  <si>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</si>
  <si>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</si>
  <si>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</si>
  <si>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</si>
  <si>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</si>
  <si>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</si>
  <si>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</si>
  <si>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</si>
  <si>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</si>
  <si>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</si>
  <si>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</si>
  <si>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</si>
  <si>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</si>
  <si>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</si>
  <si>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</si>
  <si>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</si>
  <si>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</si>
  <si>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</si>
  <si>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</si>
  <si>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</si>
  <si>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</si>
  <si>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</si>
  <si>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</si>
  <si>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</si>
  <si>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</si>
  <si>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</si>
  <si>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</si>
  <si>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</si>
  <si>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</si>
  <si>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</si>
  <si>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</si>
  <si>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</si>
  <si>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</si>
  <si>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</si>
  <si>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</si>
  <si>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</si>
  <si>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</si>
  <si>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</si>
  <si>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</si>
  <si>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</si>
  <si>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</si>
  <si>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</si>
  <si>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</si>
  <si>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</si>
  <si>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</si>
  <si>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</si>
  <si>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</si>
  <si>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</si>
  <si>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</si>
  <si>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</si>
  <si>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</si>
  <si>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</si>
  <si>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</si>
  <si>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</si>
  <si>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</si>
  <si>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</si>
  <si>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</si>
  <si>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</si>
  <si>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</si>
  <si>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</si>
  <si>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</si>
  <si>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</si>
  <si>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</si>
  <si>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</si>
  <si>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</si>
  <si>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</si>
  <si>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</si>
  <si>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</si>
  <si>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</si>
  <si>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</si>
  <si>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</si>
  <si>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</si>
  <si>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</si>
  <si>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</si>
  <si>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</si>
  <si>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</si>
  <si>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</si>
  <si>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</si>
  <si>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</si>
  <si>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</si>
  <si>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</si>
  <si>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</si>
  <si>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</si>
  <si>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</si>
  <si>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</si>
  <si>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</si>
  <si>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</si>
  <si>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</si>
  <si>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</si>
  <si>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</si>
  <si>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</si>
  <si>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</si>
  <si>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</si>
  <si>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</si>
  <si>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</si>
  <si>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</si>
  <si>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</si>
  <si>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</si>
  <si>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</si>
  <si>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</si>
  <si>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</si>
  <si>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</si>
  <si>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</si>
  <si>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</si>
  <si>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</si>
  <si>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</si>
  <si>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</si>
  <si>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</si>
  <si>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</si>
  <si>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</si>
  <si>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</si>
  <si>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</si>
  <si>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</si>
  <si>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</si>
  <si>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</si>
  <si>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</si>
  <si>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</si>
  <si>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</si>
  <si>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</si>
  <si>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</si>
  <si>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</si>
  <si>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</si>
  <si>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</si>
  <si>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</si>
  <si>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</si>
  <si>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</si>
  <si>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</si>
  <si>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</si>
  <si>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</si>
  <si>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</si>
  <si>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</si>
  <si>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</si>
  <si>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</si>
  <si>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</si>
  <si>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</si>
  <si>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</si>
  <si>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</si>
  <si>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</si>
  <si>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</si>
  <si>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</si>
  <si>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</si>
  <si>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</si>
  <si>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</si>
  <si>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</si>
  <si>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</si>
  <si>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</si>
  <si>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</si>
  <si>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</si>
  <si>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</si>
  <si>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</si>
  <si>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</si>
  <si>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</si>
  <si>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</si>
  <si>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</si>
  <si>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</si>
  <si>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</si>
  <si>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</si>
  <si>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</si>
  <si>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</si>
  <si>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</si>
  <si>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</si>
  <si>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</si>
  <si>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</si>
  <si>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</si>
  <si>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</si>
  <si>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</si>
  <si>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</si>
  <si>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</si>
  <si>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</si>
  <si>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</si>
  <si>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</si>
  <si>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</si>
  <si>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</si>
  <si>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</si>
  <si>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</si>
  <si>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</si>
  <si>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</si>
  <si>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</si>
  <si>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</si>
  <si>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</si>
  <si>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</si>
  <si>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</si>
  <si>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</si>
  <si>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</si>
  <si>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</si>
  <si>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</si>
  <si>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</si>
  <si>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</si>
  <si>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</si>
  <si>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</si>
  <si>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</si>
  <si>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</si>
  <si>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</si>
  <si>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</si>
  <si>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</si>
  <si>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</si>
  <si>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</si>
  <si>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</si>
  <si>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</si>
  <si>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</si>
  <si>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</si>
  <si>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</si>
  <si>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</si>
  <si>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</si>
  <si>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</si>
  <si>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</si>
  <si>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</si>
  <si>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</si>
  <si>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</si>
  <si>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</si>
  <si>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</si>
  <si>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</si>
  <si>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</si>
  <si>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</si>
  <si>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</si>
  <si>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</si>
  <si>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</si>
  <si>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</si>
  <si>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</si>
  <si>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</si>
  <si>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</si>
  <si>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</si>
  <si>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</si>
  <si>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</si>
  <si>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</si>
  <si>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</si>
  <si>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</si>
  <si>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</si>
  <si>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</si>
  <si>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</si>
  <si>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</si>
  <si>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</si>
  <si>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</si>
  <si>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</si>
  <si>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</si>
  <si>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</si>
  <si>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</si>
  <si>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</si>
  <si>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</si>
  <si>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</si>
  <si>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</si>
  <si>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</si>
  <si>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</si>
  <si>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</si>
  <si>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</si>
  <si>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</si>
  <si>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</si>
  <si>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</si>
  <si>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</si>
  <si>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</si>
  <si>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</si>
  <si>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</si>
  <si>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</si>
  <si>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</si>
  <si>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</si>
  <si>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</si>
  <si>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</si>
  <si>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</si>
  <si>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</si>
  <si>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</si>
  <si>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</si>
  <si>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</si>
  <si>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</si>
  <si>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</si>
  <si>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</si>
  <si>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</si>
  <si>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</si>
  <si>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</si>
  <si>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</si>
  <si>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</si>
  <si>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</si>
  <si>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</si>
  <si>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</si>
  <si>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</si>
  <si>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</si>
  <si>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</si>
  <si>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</si>
  <si>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</si>
  <si>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</si>
  <si>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</si>
  <si>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</si>
  <si>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</si>
  <si>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</si>
  <si>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</si>
  <si>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</si>
  <si>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</si>
  <si>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</si>
  <si>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</si>
  <si>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</si>
  <si>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</si>
  <si>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</si>
  <si>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</si>
  <si>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</si>
  <si>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</si>
  <si>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</si>
  <si>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</si>
  <si>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</si>
  <si>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</si>
  <si>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</si>
  <si>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</si>
  <si>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</si>
  <si>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</si>
  <si>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</si>
  <si>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</si>
  <si>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</si>
  <si>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</si>
  <si>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</si>
  <si>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</si>
  <si>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</si>
  <si>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</si>
  <si>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</si>
  <si>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</si>
  <si>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</si>
  <si>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</si>
  <si>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</si>
  <si>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</si>
  <si>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</si>
  <si>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</si>
  <si>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</si>
  <si>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</si>
  <si>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</si>
  <si>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</si>
  <si>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</si>
  <si>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</si>
  <si>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</si>
  <si>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</si>
  <si>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</si>
  <si>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</si>
  <si>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</si>
  <si>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</si>
  <si>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</si>
  <si>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</si>
  <si>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</si>
  <si>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</si>
  <si>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</si>
  <si>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</si>
  <si>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</si>
  <si>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</si>
  <si>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</si>
  <si>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</si>
  <si>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</si>
  <si>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</si>
  <si>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</si>
  <si>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</si>
  <si>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</si>
  <si>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</si>
  <si>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</si>
  <si>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</si>
  <si>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</si>
  <si>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</si>
  <si>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</si>
  <si>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</si>
  <si>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</si>
  <si>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</si>
  <si>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</si>
  <si>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</si>
  <si>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</si>
  <si>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</si>
  <si>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</si>
  <si>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</si>
  <si>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</si>
  <si>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</si>
  <si>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</si>
  <si>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</si>
  <si>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</si>
  <si>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</si>
  <si>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</si>
  <si>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</si>
  <si>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</si>
  <si>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</si>
  <si>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</si>
  <si>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</si>
  <si>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</si>
  <si>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</si>
  <si>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</si>
  <si>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</si>
  <si>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</si>
  <si>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</si>
  <si>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</si>
  <si>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</si>
  <si>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</si>
  <si>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</si>
  <si>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</si>
  <si>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</si>
  <si>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</si>
  <si>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</si>
  <si>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</si>
  <si>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</si>
  <si>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</si>
  <si>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</si>
  <si>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</si>
  <si>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</si>
  <si>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</si>
  <si>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</si>
  <si>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</si>
  <si>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</si>
  <si>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</si>
  <si>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</si>
  <si>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</si>
  <si>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</si>
  <si>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</si>
  <si>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</si>
  <si>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</si>
  <si>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</si>
  <si>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</si>
  <si>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</si>
  <si>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</si>
  <si>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</si>
  <si>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</si>
  <si>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</si>
  <si>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</si>
  <si>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</si>
  <si>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</si>
  <si>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</si>
  <si>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</si>
  <si>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</si>
  <si>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</si>
  <si>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</si>
  <si>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</si>
  <si>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</si>
  <si>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</si>
  <si>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</si>
  <si>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</si>
  <si>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</si>
  <si>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</si>
  <si>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</si>
  <si>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</si>
  <si>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</si>
  <si>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</si>
  <si>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</si>
  <si>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</si>
  <si>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</si>
  <si>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</si>
  <si>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</si>
  <si>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</si>
  <si>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</si>
  <si>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</si>
  <si>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</si>
  <si>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</si>
  <si>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</si>
  <si>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</si>
  <si>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</si>
  <si>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</si>
  <si>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</si>
  <si>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</si>
  <si>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</si>
  <si>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</si>
  <si>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</si>
  <si>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</si>
  <si>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</si>
  <si>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</si>
  <si>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</si>
  <si>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</si>
  <si>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</si>
  <si>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</si>
  <si>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</si>
  <si>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</si>
  <si>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</si>
  <si>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</si>
  <si>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</si>
  <si>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</si>
  <si>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</si>
  <si>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</si>
  <si>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</si>
  <si>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</si>
  <si>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</si>
  <si>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</si>
  <si>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</si>
  <si>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</si>
  <si>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</si>
  <si>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</si>
  <si>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</si>
  <si>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</si>
  <si>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</si>
  <si>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</si>
  <si>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</si>
  <si>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</si>
  <si>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</si>
  <si>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</si>
  <si>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</si>
  <si>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</si>
  <si>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</si>
  <si>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</si>
  <si>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</si>
  <si>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</si>
  <si>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</si>
  <si>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</si>
  <si>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</si>
  <si>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</si>
  <si>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</si>
  <si>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</si>
  <si>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</si>
  <si>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</si>
  <si>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</si>
  <si>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</si>
  <si>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</si>
  <si>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</si>
  <si>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</si>
  <si>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</si>
  <si>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</si>
  <si>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</si>
  <si>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</si>
  <si>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</si>
  <si>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</si>
  <si>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</si>
  <si>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</si>
  <si>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</si>
  <si>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</si>
  <si>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</si>
  <si>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</si>
  <si>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</si>
  <si>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</si>
  <si>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</si>
  <si>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</si>
  <si>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</si>
  <si>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</si>
  <si>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</si>
  <si>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</si>
  <si>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</si>
  <si>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</si>
  <si>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</si>
  <si>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</si>
  <si>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</si>
  <si>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</si>
  <si>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</si>
  <si>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</si>
  <si>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</si>
  <si>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</si>
  <si>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</si>
  <si>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</si>
  <si>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</si>
  <si>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</si>
  <si>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</si>
  <si>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</si>
  <si>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</si>
  <si>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</si>
  <si>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</si>
  <si>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</si>
  <si>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</si>
  <si>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</si>
  <si>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</si>
  <si>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</si>
  <si>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</si>
  <si>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</si>
  <si>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</si>
  <si>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</si>
  <si>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</si>
  <si>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</si>
  <si>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</si>
  <si>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</si>
  <si>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</si>
  <si>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</si>
  <si>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</si>
  <si>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</si>
  <si>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</si>
  <si>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</si>
  <si>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</si>
  <si>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</si>
  <si>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</si>
  <si>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</si>
  <si>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</si>
  <si>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</si>
  <si>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</si>
  <si>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</si>
  <si>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</si>
  <si>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</si>
  <si>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</si>
  <si>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</si>
  <si>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</si>
  <si>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</si>
  <si>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</si>
  <si>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</si>
  <si>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</si>
  <si>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</si>
  <si>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</si>
  <si>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</si>
  <si>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</si>
  <si>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</si>
  <si>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</si>
  <si>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</si>
  <si>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</si>
  <si>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</si>
  <si>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</si>
  <si>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</si>
  <si>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</si>
  <si>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</si>
  <si>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</si>
  <si>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</si>
  <si>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</si>
  <si>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</si>
  <si>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</si>
  <si>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</si>
  <si>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</si>
  <si>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</si>
  <si>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</si>
  <si>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</si>
  <si>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</si>
  <si>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</si>
  <si>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</si>
  <si>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</si>
  <si>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</si>
  <si>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</si>
  <si>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</si>
  <si>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</si>
  <si>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</si>
  <si>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</si>
  <si>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</si>
  <si>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</si>
  <si>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</si>
  <si>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</si>
  <si>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</si>
  <si>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</si>
  <si>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</si>
  <si>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</si>
  <si>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</si>
  <si>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</si>
  <si>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</si>
  <si>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</si>
  <si>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</si>
  <si>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</si>
  <si>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</si>
  <si>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</si>
  <si>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</si>
  <si>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</si>
  <si>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</si>
  <si>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</si>
  <si>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</si>
  <si>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</si>
  <si>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</si>
  <si>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</si>
  <si>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</si>
  <si>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</si>
  <si>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</si>
  <si>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</si>
  <si>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</si>
  <si>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</si>
  <si>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</si>
  <si>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</si>
  <si>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</si>
  <si>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</si>
  <si>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</si>
  <si>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</si>
  <si>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</si>
  <si>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</si>
  <si>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</si>
  <si>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</si>
  <si>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</si>
  <si>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</si>
  <si>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</si>
  <si>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</si>
  <si>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</si>
  <si>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</si>
  <si>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</si>
  <si>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</si>
  <si>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</si>
  <si>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</si>
  <si>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</si>
  <si>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</si>
  <si>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</si>
  <si>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</si>
  <si>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</si>
  <si>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</si>
  <si>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</si>
  <si>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</si>
  <si>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</si>
  <si>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</si>
  <si>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</si>
  <si>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</si>
  <si>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</si>
  <si>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</si>
  <si>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</si>
  <si>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</si>
  <si>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</si>
  <si>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</si>
  <si>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</si>
  <si>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</si>
  <si>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</si>
  <si>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</si>
  <si>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</si>
  <si>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</si>
  <si>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</si>
  <si>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</si>
  <si>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</si>
  <si>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</si>
  <si>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</si>
  <si>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</si>
  <si>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</si>
  <si>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</si>
  <si>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</si>
  <si>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</si>
  <si>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</si>
  <si>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</si>
  <si>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</si>
  <si>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</si>
  <si>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</si>
  <si>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</si>
  <si>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</si>
  <si>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</si>
  <si>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</si>
  <si>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</si>
  <si>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</si>
  <si>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</si>
  <si>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</si>
  <si>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</si>
  <si>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</si>
  <si>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</si>
  <si>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</si>
  <si>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</si>
  <si>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</si>
  <si>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</si>
  <si>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</si>
  <si>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</si>
  <si>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</si>
  <si>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</si>
  <si>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</si>
  <si>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</si>
  <si>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</si>
  <si>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</si>
  <si>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</si>
  <si>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</si>
  <si>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</si>
  <si>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</si>
  <si>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</si>
  <si>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</si>
  <si>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</si>
  <si>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</si>
  <si>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</si>
  <si>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</si>
  <si>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</si>
  <si>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</si>
  <si>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</si>
  <si>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</si>
  <si>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</si>
  <si>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</si>
  <si>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</si>
  <si>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</si>
  <si>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</si>
  <si>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</si>
  <si>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</si>
  <si>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</si>
  <si>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</si>
  <si>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</si>
  <si>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</si>
  <si>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</si>
  <si>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</si>
  <si>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</si>
  <si>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</si>
  <si>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</si>
  <si>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</si>
  <si>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</si>
  <si>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</si>
  <si>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</si>
  <si>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</si>
  <si>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</si>
  <si>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</si>
  <si>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</si>
  <si>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</si>
  <si>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</si>
  <si>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</si>
  <si>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</si>
  <si>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</si>
  <si>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</si>
  <si>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</si>
  <si>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</si>
  <si>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</si>
  <si>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</si>
  <si>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</si>
  <si>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</si>
  <si>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</si>
  <si>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</si>
  <si>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</si>
  <si>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</si>
  <si>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</si>
  <si>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</si>
  <si>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</si>
  <si>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</si>
  <si>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</si>
  <si>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</si>
  <si>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</si>
  <si>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</si>
  <si>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</si>
  <si>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</si>
  <si>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</si>
  <si>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</si>
  <si>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</si>
  <si>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</si>
  <si>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</si>
  <si>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</si>
  <si>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</si>
  <si>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</si>
  <si>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</si>
  <si>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</si>
  <si>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</si>
  <si>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</si>
  <si>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</si>
  <si>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</si>
  <si>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</si>
  <si>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</si>
  <si>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</si>
  <si>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</si>
  <si>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</si>
  <si>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</si>
  <si>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</si>
  <si>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</si>
  <si>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</si>
  <si>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</si>
  <si>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</si>
  <si>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</si>
  <si>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</si>
  <si>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</si>
  <si>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</si>
  <si>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</si>
  <si>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</si>
  <si>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</si>
  <si>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</si>
  <si>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</si>
  <si>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</si>
  <si>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</si>
  <si>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</si>
  <si>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</si>
  <si>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</si>
  <si>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</si>
  <si>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</si>
  <si>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</si>
  <si>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</si>
  <si>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</si>
  <si>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</si>
  <si>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</si>
  <si>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</si>
  <si>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</si>
  <si>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</si>
  <si>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</si>
  <si>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</si>
  <si>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</si>
  <si>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</si>
  <si>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</si>
  <si>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</si>
  <si>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</si>
  <si>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</si>
  <si>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</si>
  <si>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</si>
  <si>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</si>
  <si>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</si>
  <si>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</si>
  <si>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</si>
  <si>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</si>
  <si>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</si>
  <si>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</si>
  <si>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</si>
  <si>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</si>
  <si>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</si>
  <si>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</si>
  <si>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</si>
  <si>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</si>
  <si>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</si>
  <si>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</si>
  <si>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</si>
  <si>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</si>
  <si>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</si>
  <si>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</si>
  <si>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</si>
  <si>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</si>
  <si>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</si>
  <si>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</si>
  <si>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</si>
  <si>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</si>
  <si>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</si>
  <si>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</si>
  <si>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</si>
  <si>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</si>
  <si>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</si>
  <si>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</si>
  <si>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</si>
  <si>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</si>
  <si>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</si>
  <si>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</si>
  <si>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</si>
  <si>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</si>
  <si>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</si>
  <si>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</si>
  <si>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</si>
  <si>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</si>
  <si>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</si>
  <si>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</si>
  <si>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</si>
  <si>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</si>
  <si>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</si>
  <si>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</si>
  <si>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</si>
  <si>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</si>
  <si>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</si>
  <si>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</si>
  <si>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</si>
  <si>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</si>
  <si>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</si>
  <si>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</si>
  <si>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</si>
  <si>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</si>
  <si>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</si>
  <si>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</si>
  <si>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</si>
  <si>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</si>
  <si>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</si>
  <si>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</si>
  <si>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</si>
  <si>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</si>
  <si>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</si>
  <si>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</si>
  <si>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</si>
  <si>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</si>
  <si>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</si>
  <si>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</si>
  <si>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</si>
  <si>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</si>
  <si>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</si>
  <si>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</si>
  <si>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</si>
  <si>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</si>
  <si>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</si>
  <si>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</si>
  <si>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</si>
  <si>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</si>
  <si>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</si>
  <si>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</si>
  <si>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</si>
  <si>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</si>
  <si>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</si>
  <si>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</si>
  <si>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</si>
  <si>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</si>
  <si>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</si>
  <si>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</si>
  <si>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</si>
  <si>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</si>
  <si>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</si>
  <si>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</si>
  <si>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</si>
  <si>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</si>
  <si>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</si>
  <si>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</si>
  <si>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</si>
  <si>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</si>
  <si>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</si>
  <si>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</si>
  <si>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</si>
  <si>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</si>
  <si>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</si>
  <si>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</si>
  <si>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</si>
  <si>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</si>
  <si>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</si>
  <si>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</si>
  <si>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</si>
  <si>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</si>
  <si>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</si>
  <si>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</si>
  <si>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</si>
  <si>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</si>
  <si>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</si>
  <si>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</si>
  <si>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</si>
  <si>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</si>
  <si>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</si>
  <si>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</si>
  <si>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</si>
  <si>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</si>
  <si>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</si>
  <si>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</si>
  <si>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</si>
  <si>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</si>
  <si>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</si>
  <si>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</si>
  <si>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</si>
  <si>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</si>
  <si>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</si>
  <si>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</si>
  <si>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</si>
  <si>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</si>
  <si>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</si>
  <si>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</si>
  <si>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</si>
  <si>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</si>
  <si>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</si>
  <si>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</si>
  <si>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</si>
  <si>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</si>
  <si>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</si>
  <si>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</si>
  <si>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</si>
  <si>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</si>
  <si>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</si>
  <si>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</si>
  <si>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</si>
  <si>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</si>
  <si>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</si>
  <si>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</si>
  <si>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</si>
  <si>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</si>
  <si>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</si>
  <si>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</si>
  <si>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</si>
  <si>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</si>
  <si>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</si>
  <si>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</si>
  <si>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</si>
  <si>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</si>
  <si>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</si>
  <si>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</si>
  <si>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</si>
  <si>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</si>
  <si>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</si>
  <si>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</si>
  <si>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</si>
  <si>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</si>
  <si>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</si>
  <si>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</si>
  <si>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</si>
  <si>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</si>
  <si>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</si>
  <si>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</si>
  <si>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</si>
  <si>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</si>
  <si>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</si>
  <si>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</si>
  <si>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</si>
  <si>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</si>
  <si>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</si>
  <si>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</si>
  <si>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</si>
  <si>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</si>
  <si>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</si>
  <si>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</si>
  <si>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</si>
  <si>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</si>
  <si>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</si>
  <si>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</si>
  <si>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</si>
  <si>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</si>
  <si>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</si>
  <si>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</si>
  <si>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</si>
  <si>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</si>
  <si>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</si>
  <si>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</si>
  <si>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</si>
  <si>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</si>
  <si>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</si>
  <si>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</si>
  <si>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</si>
  <si>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</si>
  <si>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</si>
  <si>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</si>
  <si>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</si>
  <si>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</si>
  <si>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</si>
  <si>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</si>
  <si>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</si>
  <si>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</si>
  <si>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</si>
  <si>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</si>
  <si>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</si>
  <si>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</si>
  <si>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</si>
  <si>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</si>
  <si>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</si>
  <si>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</si>
  <si>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</si>
  <si>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</si>
  <si>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</si>
  <si>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</si>
  <si>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</si>
  <si>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</si>
  <si>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</si>
  <si>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</si>
  <si>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</si>
  <si>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</si>
  <si>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</si>
  <si>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</si>
  <si>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</si>
  <si>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</si>
  <si>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</si>
  <si>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</si>
  <si>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</si>
  <si>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</si>
  <si>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</si>
  <si>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</si>
  <si>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</si>
  <si>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</si>
  <si>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</si>
  <si>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</si>
  <si>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</si>
  <si>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</si>
  <si>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</si>
  <si>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</si>
  <si>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</si>
  <si>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</si>
  <si>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</si>
  <si>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</si>
  <si>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</si>
  <si>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</si>
  <si>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</si>
  <si>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</si>
  <si>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</si>
  <si>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</si>
  <si>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</si>
  <si>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</si>
  <si>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</si>
  <si>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</si>
  <si>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</si>
  <si>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</si>
  <si>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</si>
  <si>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</si>
  <si>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</si>
  <si>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</si>
  <si>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</si>
  <si>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</si>
  <si>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</si>
  <si>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</si>
  <si>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</si>
  <si>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</si>
  <si>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</si>
  <si>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</si>
  <si>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</si>
  <si>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</si>
  <si>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</si>
  <si>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</si>
  <si>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</si>
  <si>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</si>
  <si>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</si>
  <si>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</si>
  <si>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</si>
  <si>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</si>
  <si>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</si>
  <si>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</si>
  <si>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</si>
  <si>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</si>
  <si>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</si>
  <si>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</si>
  <si>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</si>
  <si>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</si>
  <si>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</si>
  <si>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</si>
  <si>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</si>
  <si>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</si>
  <si>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</si>
  <si>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</si>
  <si>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</si>
  <si>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</si>
  <si>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</si>
  <si>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</si>
  <si>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</si>
  <si>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</si>
  <si>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</si>
  <si>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</si>
  <si>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</si>
  <si>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</si>
  <si>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</si>
  <si>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</si>
  <si>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</si>
  <si>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</si>
  <si>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</si>
  <si>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</si>
  <si>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</si>
  <si>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</si>
  <si>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</si>
  <si>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</si>
  <si>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</si>
  <si>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</si>
  <si>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</si>
  <si>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</si>
  <si>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</si>
  <si>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</si>
  <si>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</si>
  <si>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</si>
  <si>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</si>
  <si>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</si>
  <si>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</si>
  <si>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</si>
  <si>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</si>
  <si>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</si>
  <si>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</si>
  <si>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</si>
  <si>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</si>
  <si>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</si>
  <si>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</si>
  <si>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</si>
  <si>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</si>
  <si>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</si>
  <si>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</si>
  <si>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</si>
  <si>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</si>
  <si>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</si>
  <si>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</si>
  <si>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</si>
  <si>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</si>
  <si>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</si>
  <si>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</si>
  <si>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</si>
  <si>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</si>
  <si>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</si>
  <si>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</si>
  <si>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</si>
  <si>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</si>
  <si>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</si>
  <si>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</si>
  <si>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</si>
  <si>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</si>
  <si>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</si>
  <si>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</si>
  <si>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</si>
  <si>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</si>
  <si>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</si>
  <si>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</si>
  <si>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</si>
  <si>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</si>
  <si>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</si>
  <si>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</si>
  <si>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</si>
  <si>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</si>
  <si>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</si>
  <si>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</si>
  <si>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</si>
  <si>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</si>
  <si>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</si>
  <si>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</si>
  <si>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</si>
  <si>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</si>
  <si>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</si>
  <si>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</si>
  <si>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</si>
  <si>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</si>
  <si>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</si>
  <si>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</si>
  <si>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</si>
  <si>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</si>
  <si>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</si>
  <si>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</si>
  <si>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</si>
  <si>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</si>
  <si>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</si>
  <si>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</si>
  <si>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</si>
  <si>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</si>
  <si>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</si>
  <si>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</si>
  <si>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</si>
  <si>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</si>
  <si>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</si>
  <si>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</si>
  <si>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</si>
  <si>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</si>
  <si>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</si>
  <si>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</si>
  <si>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</si>
  <si>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</si>
  <si>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</si>
  <si>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</si>
  <si>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</si>
  <si>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</si>
  <si>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</si>
  <si>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</si>
  <si>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</si>
  <si>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</si>
  <si>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</si>
  <si>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</si>
  <si>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</si>
  <si>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</si>
  <si>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</si>
  <si>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</si>
  <si>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</si>
  <si>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</si>
  <si>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</si>
  <si>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</si>
  <si>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</si>
  <si>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Gross Revenue</t>
  </si>
  <si>
    <t>Discount AmountA</t>
  </si>
  <si>
    <t>Net Sales</t>
  </si>
  <si>
    <t>Delivery Time</t>
  </si>
  <si>
    <t>Profit</t>
  </si>
  <si>
    <t>Is Returned</t>
  </si>
  <si>
    <t>Row Labels</t>
  </si>
  <si>
    <t>Grand Total</t>
  </si>
  <si>
    <t>2023</t>
  </si>
  <si>
    <t>2024</t>
  </si>
  <si>
    <t>2025</t>
  </si>
  <si>
    <t>Sum of Net Sales</t>
  </si>
  <si>
    <t>Sum of Profit</t>
  </si>
  <si>
    <t>Sale</t>
  </si>
  <si>
    <t>Sales vc PY</t>
  </si>
  <si>
    <t>Column Labels</t>
  </si>
  <si>
    <t>Qtr1</t>
  </si>
  <si>
    <t>Qtr2</t>
  </si>
  <si>
    <t>Qtr3</t>
  </si>
  <si>
    <t>Qtr4</t>
  </si>
  <si>
    <t>Years (OrderDate)</t>
  </si>
  <si>
    <t>Sum of Quantity</t>
  </si>
  <si>
    <t>Table 1&amp;2</t>
  </si>
  <si>
    <t>Table 3&amp;  4</t>
  </si>
  <si>
    <t>Quarters (OrderDate)</t>
  </si>
  <si>
    <t>Sales</t>
  </si>
  <si>
    <t>Price</t>
  </si>
  <si>
    <t>vs PY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</si>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</sst>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numFmt numFmtId="165" formatCode="0;[Red]0"/>
    <numFmt numFmtId="168" formatCode="[$$-409]#,##0.00;[Red][$$-409]#,##0.00"/>
    <numFmt numFmtId="169" formatCode="[Green]0.00%;[Red]\(0.00\)%"/>
    <numFmt numFmtId="170" formatCode="[Color10]0.00%;[Red]\(0.00\)%"/>
    <numFmt numFmtId="171" formatCode="[Red]0.00%;[Color10]\(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0" fontId="0" fillId="0" borderId="0" xfId="0" applyNumberFormat="1"/>
    <xf numFmtId="1" fontId="0" fillId="0" borderId="0" xfId="0" applyNumberFormat="1"/>
    <xf numFmtId="168" fontId="0" fillId="0" borderId="0" xfId="0" applyNumberFormat="1"/>
    <xf numFmtId="0" fontId="0" fillId="0" borderId="2" xfId="0" applyBorder="1"/>
    <xf numFmtId="0" fontId="0" fillId="0" borderId="3" xfId="0" applyBorder="1"/>
    <xf numFmtId="0" fontId="0" fillId="0" borderId="4" xfId="0" applyBorder="1"/>
    <xf numFmtId="0" fontId="0" fillId="0" borderId="0" xfId="0" applyBorder="1"/>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2" fillId="0" borderId="0" xfId="0" applyFont="1" applyAlignment="1">
      <alignment horizontal="right"/>
    </xf>
    <xf numFmtId="1" fontId="1" fillId="0" borderId="0" xfId="0" applyNumberFormat="1" applyFont="1"/>
    <xf numFmtId="169" fontId="0" fillId="0" borderId="0" xfId="0" applyNumberFormat="1"/>
    <xf numFmtId="169" fontId="1" fillId="0" borderId="0" xfId="0" applyNumberFormat="1" applyFont="1"/>
    <xf numFmtId="170" fontId="0" fillId="0" borderId="0" xfId="0" applyNumberFormat="1"/>
    <xf numFmtId="0" fontId="0" fillId="0" borderId="0" xfId="0" applyAlignment="1"/>
    <xf numFmtId="0" fontId="1" fillId="0" borderId="0" xfId="0" applyFont="1" applyAlignment="1"/>
    <xf numFmtId="0" fontId="2" fillId="0" borderId="0" xfId="0" applyFont="1" applyBorder="1" applyAlignment="1">
      <alignment horizontal="center"/>
    </xf>
    <xf numFmtId="0" fontId="2" fillId="0" borderId="0" xfId="0" applyFont="1" applyBorder="1"/>
    <xf numFmtId="0" fontId="2" fillId="0" borderId="0" xfId="0" applyFont="1" applyBorder="1" applyAlignment="1">
      <alignment horizontal="right"/>
    </xf>
    <xf numFmtId="0" fontId="0" fillId="0" borderId="0" xfId="0" applyBorder="1" applyAlignment="1">
      <alignment horizontal="center"/>
    </xf>
    <xf numFmtId="1" fontId="0" fillId="0" borderId="0" xfId="0" applyNumberFormat="1" applyBorder="1"/>
    <xf numFmtId="0" fontId="1" fillId="0" borderId="0" xfId="0" applyFont="1" applyBorder="1" applyAlignment="1">
      <alignment horizontal="center"/>
    </xf>
    <xf numFmtId="1" fontId="1" fillId="0" borderId="0" xfId="0" applyNumberFormat="1" applyFont="1" applyBorder="1"/>
    <xf numFmtId="171" fontId="0" fillId="0" borderId="0" xfId="0" applyNumberFormat="1" applyBorder="1"/>
    <xf numFmtId="171" fontId="1" fillId="0" borderId="0" xfId="0" applyNumberFormat="1" applyFont="1" applyBorder="1"/>
  </cellXfs>
  <cellStyles count="1">
    <cellStyle name="Normal" xfId="0" builtinId="0"/>
  </cellStyles>
  <dxfs count="0"/>
  <tableStyles count="2" defaultTableStyle="TableStyleMedium9" defaultPivotStyle="PivotStyleLight16">
    <tableStyle name="Slicer Style 1" pivot="0" table="0" count="0" xr9:uid="{6F539009-205A-4AE4-B06E-6089E789BA64}"/>
    <tableStyle name="Slicer Style 2" pivot="0" table="0" count="0" xr9:uid="{64F4D919-D906-4561-93B5-D0DD0A5E92CD}"/>
  </tableStyles>
  <colors>
    <mruColors>
      <color rgb="FF3E7B68"/>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E7B68"/>
            </a:solidFill>
            <a:ln>
              <a:noFill/>
            </a:ln>
            <a:effectLst/>
          </c:spPr>
          <c:invertIfNegative val="0"/>
          <c:cat>
            <c:multiLvlStrRef>
              <c:f>Sheet4!$F$4:$G$13</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Sheet4!$H$4:$H$13</c:f>
              <c:numCache>
                <c:formatCode>[$$-409]#,##0.00;[Red][$$-409]#,##0.00</c:formatCode>
                <c:ptCount val="10"/>
                <c:pt idx="0">
                  <c:v>502717.79600000009</c:v>
                </c:pt>
                <c:pt idx="1">
                  <c:v>400622.36049999995</c:v>
                </c:pt>
                <c:pt idx="2">
                  <c:v>451217.88299999974</c:v>
                </c:pt>
                <c:pt idx="3">
                  <c:v>343311.93700000015</c:v>
                </c:pt>
                <c:pt idx="4">
                  <c:v>450312.9774999998</c:v>
                </c:pt>
                <c:pt idx="5">
                  <c:v>461674.88350000005</c:v>
                </c:pt>
                <c:pt idx="6">
                  <c:v>400585.81699999998</c:v>
                </c:pt>
                <c:pt idx="7">
                  <c:v>459381.10200000007</c:v>
                </c:pt>
                <c:pt idx="8">
                  <c:v>492476.49499999988</c:v>
                </c:pt>
                <c:pt idx="9">
                  <c:v>417691.17700000008</c:v>
                </c:pt>
              </c:numCache>
            </c:numRef>
          </c:val>
          <c:extLst>
            <c:ext xmlns:c16="http://schemas.microsoft.com/office/drawing/2014/chart" uri="{C3380CC4-5D6E-409C-BE32-E72D297353CC}">
              <c16:uniqueId val="{00000000-9845-4D48-A63C-3220347740A6}"/>
            </c:ext>
          </c:extLst>
        </c:ser>
        <c:dLbls>
          <c:showLegendKey val="0"/>
          <c:showVal val="0"/>
          <c:showCatName val="0"/>
          <c:showSerName val="0"/>
          <c:showPercent val="0"/>
          <c:showBubbleSize val="0"/>
        </c:dLbls>
        <c:gapWidth val="219"/>
        <c:axId val="1468273663"/>
        <c:axId val="1468274623"/>
      </c:barChart>
      <c:lineChart>
        <c:grouping val="standard"/>
        <c:varyColors val="0"/>
        <c:ser>
          <c:idx val="1"/>
          <c:order val="1"/>
          <c:tx>
            <c:strRef>
              <c:f>Sheet4!$I$3</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Sheet4!$I$4:$I$13</c:f>
              <c:numCache>
                <c:formatCode>[$$-409]#,##0.00;[Red][$$-409]#,##0.00</c:formatCode>
                <c:ptCount val="10"/>
                <c:pt idx="0">
                  <c:v>286.77569652025107</c:v>
                </c:pt>
                <c:pt idx="1">
                  <c:v>298.30406589724493</c:v>
                </c:pt>
                <c:pt idx="2">
                  <c:v>280.60813619402967</c:v>
                </c:pt>
                <c:pt idx="3">
                  <c:v>254.30513851851862</c:v>
                </c:pt>
                <c:pt idx="4">
                  <c:v>278.31457200247206</c:v>
                </c:pt>
                <c:pt idx="5">
                  <c:v>298.04705196901227</c:v>
                </c:pt>
                <c:pt idx="6">
                  <c:v>274.37384726027398</c:v>
                </c:pt>
                <c:pt idx="7">
                  <c:v>289.28280982367761</c:v>
                </c:pt>
                <c:pt idx="8">
                  <c:v>267.0696827548806</c:v>
                </c:pt>
                <c:pt idx="9">
                  <c:v>277.90497471723228</c:v>
                </c:pt>
              </c:numCache>
            </c:numRef>
          </c:val>
          <c:smooth val="0"/>
          <c:extLst>
            <c:ext xmlns:c16="http://schemas.microsoft.com/office/drawing/2014/chart" uri="{C3380CC4-5D6E-409C-BE32-E72D297353CC}">
              <c16:uniqueId val="{00000001-9845-4D48-A63C-3220347740A6}"/>
            </c:ext>
          </c:extLst>
        </c:ser>
        <c:dLbls>
          <c:showLegendKey val="0"/>
          <c:showVal val="0"/>
          <c:showCatName val="0"/>
          <c:showSerName val="0"/>
          <c:showPercent val="0"/>
          <c:showBubbleSize val="0"/>
        </c:dLbls>
        <c:marker val="1"/>
        <c:smooth val="0"/>
        <c:axId val="1468286623"/>
        <c:axId val="1468286143"/>
      </c:lineChart>
      <c:catAx>
        <c:axId val="14682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74623"/>
        <c:crosses val="autoZero"/>
        <c:auto val="1"/>
        <c:lblAlgn val="ctr"/>
        <c:lblOffset val="100"/>
        <c:noMultiLvlLbl val="0"/>
      </c:catAx>
      <c:valAx>
        <c:axId val="1468274623"/>
        <c:scaling>
          <c:orientation val="minMax"/>
        </c:scaling>
        <c:delete val="0"/>
        <c:axPos val="l"/>
        <c:majorGridlines>
          <c:spPr>
            <a:ln w="9525" cap="flat" cmpd="sng" algn="ctr">
              <a:solidFill>
                <a:schemeClr val="tx1">
                  <a:lumMod val="15000"/>
                  <a:lumOff val="85000"/>
                </a:schemeClr>
              </a:solidFill>
              <a:round/>
            </a:ln>
            <a:effectLst/>
          </c:spPr>
        </c:majorGridlines>
        <c:numFmt formatCode="[$$-409]#,##0.00;[Red][$$-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73663"/>
        <c:crosses val="autoZero"/>
        <c:crossBetween val="between"/>
      </c:valAx>
      <c:valAx>
        <c:axId val="1468286143"/>
        <c:scaling>
          <c:orientation val="minMax"/>
        </c:scaling>
        <c:delete val="0"/>
        <c:axPos val="r"/>
        <c:numFmt formatCode="[$$-409]#,##0.00;[Red][$$-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86623"/>
        <c:crosses val="max"/>
        <c:crossBetween val="between"/>
      </c:valAx>
      <c:catAx>
        <c:axId val="1468286623"/>
        <c:scaling>
          <c:orientation val="minMax"/>
        </c:scaling>
        <c:delete val="1"/>
        <c:axPos val="b"/>
        <c:majorTickMark val="out"/>
        <c:minorTickMark val="none"/>
        <c:tickLblPos val="nextTo"/>
        <c:crossAx val="14682861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E7B68"/>
            </a:solidFill>
            <a:ln>
              <a:noFill/>
            </a:ln>
            <a:effectLst/>
          </c:spPr>
          <c:invertIfNegative val="0"/>
          <c:cat>
            <c:strRef>
              <c:f>Sheet4!$E$40:$E$44</c:f>
              <c:strCache>
                <c:ptCount val="5"/>
                <c:pt idx="0">
                  <c:v>North</c:v>
                </c:pt>
                <c:pt idx="1">
                  <c:v>East</c:v>
                </c:pt>
                <c:pt idx="2">
                  <c:v>West</c:v>
                </c:pt>
                <c:pt idx="3">
                  <c:v>Central</c:v>
                </c:pt>
                <c:pt idx="4">
                  <c:v>South</c:v>
                </c:pt>
              </c:strCache>
            </c:strRef>
          </c:cat>
          <c:val>
            <c:numRef>
              <c:f>Sheet4!$F$40:$F$44</c:f>
              <c:numCache>
                <c:formatCode>General</c:formatCode>
                <c:ptCount val="5"/>
                <c:pt idx="0">
                  <c:v>967957.98000000068</c:v>
                </c:pt>
                <c:pt idx="1">
                  <c:v>883633.71800000116</c:v>
                </c:pt>
                <c:pt idx="2">
                  <c:v>853478.85900000029</c:v>
                </c:pt>
                <c:pt idx="3">
                  <c:v>847153.68450000032</c:v>
                </c:pt>
                <c:pt idx="4">
                  <c:v>827768.18699999992</c:v>
                </c:pt>
              </c:numCache>
            </c:numRef>
          </c:val>
          <c:extLst>
            <c:ext xmlns:c16="http://schemas.microsoft.com/office/drawing/2014/chart" uri="{C3380CC4-5D6E-409C-BE32-E72D297353CC}">
              <c16:uniqueId val="{00000000-9781-4040-B3C8-E9C51302CA87}"/>
            </c:ext>
          </c:extLst>
        </c:ser>
        <c:dLbls>
          <c:showLegendKey val="0"/>
          <c:showVal val="0"/>
          <c:showCatName val="0"/>
          <c:showSerName val="0"/>
          <c:showPercent val="0"/>
          <c:showBubbleSize val="0"/>
        </c:dLbls>
        <c:gapWidth val="219"/>
        <c:overlap val="-27"/>
        <c:axId val="1468277503"/>
        <c:axId val="1468278943"/>
      </c:barChart>
      <c:catAx>
        <c:axId val="146827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78943"/>
        <c:crosses val="autoZero"/>
        <c:auto val="1"/>
        <c:lblAlgn val="ctr"/>
        <c:lblOffset val="100"/>
        <c:noMultiLvlLbl val="0"/>
      </c:catAx>
      <c:valAx>
        <c:axId val="146827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7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10</xdr:row>
      <xdr:rowOff>0</xdr:rowOff>
    </xdr:from>
    <xdr:to>
      <xdr:col>15</xdr:col>
      <xdr:colOff>455041</xdr:colOff>
      <xdr:row>13</xdr:row>
      <xdr:rowOff>175624</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D4021E6D-DABE-43F0-92C4-02B7E6C77A1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827059" y="1867647"/>
              <a:ext cx="5945923" cy="735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408890</xdr:colOff>
      <xdr:row>13</xdr:row>
      <xdr:rowOff>122518</xdr:rowOff>
    </xdr:from>
    <xdr:to>
      <xdr:col>20</xdr:col>
      <xdr:colOff>407396</xdr:colOff>
      <xdr:row>19</xdr:row>
      <xdr:rowOff>161863</xdr:rowOff>
    </xdr:to>
    <mc:AlternateContent xmlns:mc="http://schemas.openxmlformats.org/markup-compatibility/2006">
      <mc:Choice xmlns:a14="http://schemas.microsoft.com/office/drawing/2010/main" Requires="a14">
        <xdr:graphicFrame macro="">
          <xdr:nvGraphicFramePr>
            <xdr:cNvPr id="7" name="Years (OrderDate)">
              <a:extLst>
                <a:ext uri="{FF2B5EF4-FFF2-40B4-BE49-F238E27FC236}">
                  <a16:creationId xmlns:a16="http://schemas.microsoft.com/office/drawing/2014/main" id="{2A6EC4FC-2EB7-D117-3495-16D6CFE2BCD7}"/>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dr:sp macro="" textlink="">
          <xdr:nvSpPr>
            <xdr:cNvPr id="0" name=""/>
            <xdr:cNvSpPr>
              <a:spLocks noTextEdit="1"/>
            </xdr:cNvSpPr>
          </xdr:nvSpPr>
          <xdr:spPr>
            <a:xfrm>
              <a:off x="12947027" y="2550459"/>
              <a:ext cx="1828800" cy="1159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110796</xdr:colOff>
      <xdr:row>1</xdr:row>
      <xdr:rowOff>166632</xdr:rowOff>
    </xdr:from>
    <xdr:to>
      <xdr:col>4</xdr:col>
      <xdr:colOff>735286</xdr:colOff>
      <xdr:row>6</xdr:row>
      <xdr:rowOff>184354</xdr:rowOff>
    </xdr:to>
    <mc:AlternateContent xmlns:mc="http://schemas.openxmlformats.org/markup-compatibility/2006">
      <mc:Choice xmlns:a14="http://schemas.microsoft.com/office/drawing/2010/main" Requires="a14">
        <xdr:graphicFrame macro="">
          <xdr:nvGraphicFramePr>
            <xdr:cNvPr id="6" name="CustomerType 1">
              <a:extLst>
                <a:ext uri="{FF2B5EF4-FFF2-40B4-BE49-F238E27FC236}">
                  <a16:creationId xmlns:a16="http://schemas.microsoft.com/office/drawing/2014/main" id="{D81F94B6-7F8C-1FE0-056D-BDE1DEA1157C}"/>
                </a:ext>
              </a:extLst>
            </xdr:cNvPr>
            <xdr:cNvGraphicFramePr/>
          </xdr:nvGraphicFramePr>
          <xdr:xfrm>
            <a:off x="0" y="0"/>
            <a:ext cx="0" cy="0"/>
          </xdr:xfrm>
          <a:graphic>
            <a:graphicData uri="http://schemas.microsoft.com/office/drawing/2010/slicer">
              <sle:slicer xmlns:sle="http://schemas.microsoft.com/office/drawing/2010/slicer" name="CustomerType 1"/>
            </a:graphicData>
          </a:graphic>
        </xdr:graphicFrame>
      </mc:Choice>
      <mc:Fallback>
        <xdr:sp macro="" textlink="">
          <xdr:nvSpPr>
            <xdr:cNvPr id="0" name=""/>
            <xdr:cNvSpPr>
              <a:spLocks noTextEdit="1"/>
            </xdr:cNvSpPr>
          </xdr:nvSpPr>
          <xdr:spPr>
            <a:xfrm>
              <a:off x="2968296" y="350987"/>
              <a:ext cx="1833038" cy="939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502963</xdr:colOff>
      <xdr:row>15</xdr:row>
      <xdr:rowOff>138387</xdr:rowOff>
    </xdr:from>
    <xdr:to>
      <xdr:col>5</xdr:col>
      <xdr:colOff>306332</xdr:colOff>
      <xdr:row>25</xdr:row>
      <xdr:rowOff>120432</xdr:rowOff>
    </xdr:to>
    <mc:AlternateContent xmlns:mc="http://schemas.openxmlformats.org/markup-compatibility/2006">
      <mc:Choice xmlns:a14="http://schemas.microsoft.com/office/drawing/2010/main" Requires="a14">
        <xdr:graphicFrame macro="">
          <xdr:nvGraphicFramePr>
            <xdr:cNvPr id="9" name="RegionManager">
              <a:extLst>
                <a:ext uri="{FF2B5EF4-FFF2-40B4-BE49-F238E27FC236}">
                  <a16:creationId xmlns:a16="http://schemas.microsoft.com/office/drawing/2014/main" id="{F82F0440-5E2E-BBC2-4E92-DA9160DDDF9B}"/>
                </a:ext>
              </a:extLst>
            </xdr:cNvPr>
            <xdr:cNvGraphicFramePr/>
          </xdr:nvGraphicFramePr>
          <xdr:xfrm>
            <a:off x="0" y="0"/>
            <a:ext cx="0" cy="0"/>
          </xdr:xfrm>
          <a:graphic>
            <a:graphicData uri="http://schemas.microsoft.com/office/drawing/2010/slicer">
              <sle:slicer xmlns:sle="http://schemas.microsoft.com/office/drawing/2010/slicer" name="RegionManager"/>
            </a:graphicData>
          </a:graphic>
        </xdr:graphicFrame>
      </mc:Choice>
      <mc:Fallback>
        <xdr:sp macro="" textlink="">
          <xdr:nvSpPr>
            <xdr:cNvPr id="0" name=""/>
            <xdr:cNvSpPr>
              <a:spLocks noTextEdit="1"/>
            </xdr:cNvSpPr>
          </xdr:nvSpPr>
          <xdr:spPr>
            <a:xfrm>
              <a:off x="3360463" y="2903710"/>
              <a:ext cx="1841514" cy="1825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32961</xdr:colOff>
      <xdr:row>31</xdr:row>
      <xdr:rowOff>53861</xdr:rowOff>
    </xdr:from>
    <xdr:to>
      <xdr:col>14</xdr:col>
      <xdr:colOff>39587</xdr:colOff>
      <xdr:row>40</xdr:row>
      <xdr:rowOff>107627</xdr:rowOff>
    </xdr:to>
    <mc:AlternateContent xmlns:mc="http://schemas.openxmlformats.org/markup-compatibility/2006">
      <mc:Choice xmlns:a14="http://schemas.microsoft.com/office/drawing/2010/main" Requires="a14">
        <xdr:graphicFrame macro="">
          <xdr:nvGraphicFramePr>
            <xdr:cNvPr id="4" name="PaymentMethod">
              <a:extLst>
                <a:ext uri="{FF2B5EF4-FFF2-40B4-BE49-F238E27FC236}">
                  <a16:creationId xmlns:a16="http://schemas.microsoft.com/office/drawing/2014/main" id="{B40AB067-9EDA-A21F-22F0-8AA2F8D7581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8449402" y="5725810"/>
              <a:ext cx="1847049" cy="1700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575233</xdr:colOff>
      <xdr:row>31</xdr:row>
      <xdr:rowOff>61041</xdr:rowOff>
    </xdr:from>
    <xdr:to>
      <xdr:col>21</xdr:col>
      <xdr:colOff>581859</xdr:colOff>
      <xdr:row>41</xdr:row>
      <xdr:rowOff>84233</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AE36A0D4-B3AA-A3FC-84ED-BD5BF3D776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285996" y="5732990"/>
              <a:ext cx="1847049" cy="1852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582136</xdr:colOff>
      <xdr:row>36</xdr:row>
      <xdr:rowOff>20212</xdr:rowOff>
    </xdr:from>
    <xdr:to>
      <xdr:col>18</xdr:col>
      <xdr:colOff>588761</xdr:colOff>
      <xdr:row>42</xdr:row>
      <xdr:rowOff>8893</xdr:rowOff>
    </xdr:to>
    <mc:AlternateContent xmlns:mc="http://schemas.openxmlformats.org/markup-compatibility/2006">
      <mc:Choice xmlns:a14="http://schemas.microsoft.com/office/drawing/2010/main" Requires="a14">
        <xdr:graphicFrame macro="">
          <xdr:nvGraphicFramePr>
            <xdr:cNvPr id="6" name="CustomerType 2">
              <a:extLst>
                <a:ext uri="{FF2B5EF4-FFF2-40B4-BE49-F238E27FC236}">
                  <a16:creationId xmlns:a16="http://schemas.microsoft.com/office/drawing/2014/main" id="{AF552D9E-8FBD-3E8E-3D63-4F81AEE75B8D}"/>
                </a:ext>
              </a:extLst>
            </xdr:cNvPr>
            <xdr:cNvGraphicFramePr/>
          </xdr:nvGraphicFramePr>
          <xdr:xfrm>
            <a:off x="0" y="0"/>
            <a:ext cx="0" cy="0"/>
          </xdr:xfrm>
          <a:graphic>
            <a:graphicData uri="http://schemas.microsoft.com/office/drawing/2010/slicer">
              <sle:slicer xmlns:sle="http://schemas.microsoft.com/office/drawing/2010/slicer" name="CustomerType 2"/>
            </a:graphicData>
          </a:graphic>
        </xdr:graphicFrame>
      </mc:Choice>
      <mc:Fallback>
        <xdr:sp macro="" textlink="">
          <xdr:nvSpPr>
            <xdr:cNvPr id="0" name=""/>
            <xdr:cNvSpPr>
              <a:spLocks noTextEdit="1"/>
            </xdr:cNvSpPr>
          </xdr:nvSpPr>
          <xdr:spPr>
            <a:xfrm>
              <a:off x="11452475" y="6606992"/>
              <a:ext cx="1847049" cy="1086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48846</xdr:colOff>
      <xdr:row>4</xdr:row>
      <xdr:rowOff>97693</xdr:rowOff>
    </xdr:to>
    <xdr:sp macro="" textlink="">
      <xdr:nvSpPr>
        <xdr:cNvPr id="3" name="Rectangle 2">
          <a:extLst>
            <a:ext uri="{FF2B5EF4-FFF2-40B4-BE49-F238E27FC236}">
              <a16:creationId xmlns:a16="http://schemas.microsoft.com/office/drawing/2014/main" id="{D5124555-04EC-3AE2-A004-811619E30EC7}"/>
            </a:ext>
          </a:extLst>
        </xdr:cNvPr>
        <xdr:cNvSpPr/>
      </xdr:nvSpPr>
      <xdr:spPr>
        <a:xfrm>
          <a:off x="602436" y="179103"/>
          <a:ext cx="1253718" cy="635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586154</xdr:colOff>
      <xdr:row>0</xdr:row>
      <xdr:rowOff>162128</xdr:rowOff>
    </xdr:from>
    <xdr:to>
      <xdr:col>3</xdr:col>
      <xdr:colOff>337766</xdr:colOff>
      <xdr:row>6</xdr:row>
      <xdr:rowOff>65129</xdr:rowOff>
    </xdr:to>
    <xdr:sp macro="" textlink="">
      <xdr:nvSpPr>
        <xdr:cNvPr id="4" name="Rectangle 3">
          <a:extLst>
            <a:ext uri="{FF2B5EF4-FFF2-40B4-BE49-F238E27FC236}">
              <a16:creationId xmlns:a16="http://schemas.microsoft.com/office/drawing/2014/main" id="{F88CC501-37A4-0B8A-C52D-1AF2F76E3724}"/>
            </a:ext>
          </a:extLst>
        </xdr:cNvPr>
        <xdr:cNvSpPr/>
      </xdr:nvSpPr>
      <xdr:spPr>
        <a:xfrm>
          <a:off x="586154" y="162128"/>
          <a:ext cx="1575548" cy="103789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424720</xdr:colOff>
      <xdr:row>0</xdr:row>
      <xdr:rowOff>30141</xdr:rowOff>
    </xdr:from>
    <xdr:to>
      <xdr:col>3</xdr:col>
      <xdr:colOff>472872</xdr:colOff>
      <xdr:row>6</xdr:row>
      <xdr:rowOff>134327</xdr:rowOff>
    </xdr:to>
    <xdr:pic>
      <xdr:nvPicPr>
        <xdr:cNvPr id="6" name="Picture 5">
          <a:extLst>
            <a:ext uri="{FF2B5EF4-FFF2-40B4-BE49-F238E27FC236}">
              <a16:creationId xmlns:a16="http://schemas.microsoft.com/office/drawing/2014/main" id="{7C3AD3F5-B9B4-70CE-C22F-E8E2FA95CF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5297" y="30141"/>
          <a:ext cx="1269306" cy="1203224"/>
        </a:xfrm>
        <a:prstGeom prst="rect">
          <a:avLst/>
        </a:prstGeom>
      </xdr:spPr>
    </xdr:pic>
    <xdr:clientData/>
  </xdr:twoCellAnchor>
  <xdr:twoCellAnchor editAs="absolute">
    <xdr:from>
      <xdr:col>1</xdr:col>
      <xdr:colOff>14581</xdr:colOff>
      <xdr:row>6</xdr:row>
      <xdr:rowOff>86528</xdr:rowOff>
    </xdr:from>
    <xdr:to>
      <xdr:col>4</xdr:col>
      <xdr:colOff>47387</xdr:colOff>
      <xdr:row>10</xdr:row>
      <xdr:rowOff>153189</xdr:rowOff>
    </xdr:to>
    <xdr:sp macro="" textlink="">
      <xdr:nvSpPr>
        <xdr:cNvPr id="7" name="Rectangle: Rounded Corners 6">
          <a:extLst>
            <a:ext uri="{FF2B5EF4-FFF2-40B4-BE49-F238E27FC236}">
              <a16:creationId xmlns:a16="http://schemas.microsoft.com/office/drawing/2014/main" id="{02C70F53-0E5C-16A3-E6E4-5ACEEC0C6F0E}"/>
            </a:ext>
          </a:extLst>
        </xdr:cNvPr>
        <xdr:cNvSpPr>
          <a:spLocks/>
        </xdr:cNvSpPr>
      </xdr:nvSpPr>
      <xdr:spPr>
        <a:xfrm>
          <a:off x="621148" y="1166976"/>
          <a:ext cx="2061015" cy="786959"/>
        </a:xfrm>
        <a:prstGeom prst="roundRect">
          <a:avLst/>
        </a:prstGeom>
        <a:solidFill>
          <a:srgbClr val="3E7B68"/>
        </a:solidFill>
        <a:ln>
          <a:solidFill>
            <a:srgbClr val="3E7B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Sales</a:t>
          </a:r>
          <a:r>
            <a:rPr lang="en-IN" sz="1400" b="1" baseline="0"/>
            <a:t> Latest Year</a:t>
          </a:r>
          <a:endParaRPr lang="en-IN" sz="1400" b="1"/>
        </a:p>
      </xdr:txBody>
    </xdr:sp>
    <xdr:clientData/>
  </xdr:twoCellAnchor>
  <xdr:twoCellAnchor editAs="absolute">
    <xdr:from>
      <xdr:col>1</xdr:col>
      <xdr:colOff>170961</xdr:colOff>
      <xdr:row>8</xdr:row>
      <xdr:rowOff>29813</xdr:rowOff>
    </xdr:from>
    <xdr:to>
      <xdr:col>3</xdr:col>
      <xdr:colOff>720480</xdr:colOff>
      <xdr:row>10</xdr:row>
      <xdr:rowOff>61056</xdr:rowOff>
    </xdr:to>
    <xdr:sp macro="" textlink="Sheet2!B5">
      <xdr:nvSpPr>
        <xdr:cNvPr id="17" name="TextBox 16">
          <a:extLst>
            <a:ext uri="{FF2B5EF4-FFF2-40B4-BE49-F238E27FC236}">
              <a16:creationId xmlns:a16="http://schemas.microsoft.com/office/drawing/2014/main" id="{4042FC42-083D-EC4E-0BFC-FB50CD83294A}"/>
            </a:ext>
          </a:extLst>
        </xdr:cNvPr>
        <xdr:cNvSpPr txBox="1">
          <a:spLocks/>
        </xdr:cNvSpPr>
      </xdr:nvSpPr>
      <xdr:spPr>
        <a:xfrm>
          <a:off x="781538" y="1495198"/>
          <a:ext cx="1770673" cy="397589"/>
        </a:xfrm>
        <a:prstGeom prst="rect">
          <a:avLst/>
        </a:prstGeom>
        <a:solidFill>
          <a:srgbClr val="3E7B68"/>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EA75867-42F0-44B3-8BA3-ABDA53801F58}" type="TxLink">
            <a:rPr lang="en-US" sz="2000" b="1" i="0" u="none" strike="noStrike">
              <a:solidFill>
                <a:schemeClr val="bg1"/>
              </a:solidFill>
              <a:effectLst/>
              <a:latin typeface="Calibri"/>
              <a:ea typeface="Calibri"/>
              <a:cs typeface="Calibri"/>
            </a:rPr>
            <a:t>1771954.78</a:t>
          </a:fld>
          <a:endParaRPr lang="en-IN" sz="2000" b="1">
            <a:solidFill>
              <a:schemeClr val="bg1"/>
            </a:solidFill>
            <a:effectLst/>
          </a:endParaRPr>
        </a:p>
      </xdr:txBody>
    </xdr:sp>
    <xdr:clientData/>
  </xdr:twoCellAnchor>
  <xdr:twoCellAnchor editAs="absolute">
    <xdr:from>
      <xdr:col>19</xdr:col>
      <xdr:colOff>396999</xdr:colOff>
      <xdr:row>6</xdr:row>
      <xdr:rowOff>55135</xdr:rowOff>
    </xdr:from>
    <xdr:to>
      <xdr:col>23</xdr:col>
      <xdr:colOff>228529</xdr:colOff>
      <xdr:row>11</xdr:row>
      <xdr:rowOff>4506</xdr:rowOff>
    </xdr:to>
    <xdr:sp macro="" textlink="">
      <xdr:nvSpPr>
        <xdr:cNvPr id="28" name="Rectangle: Rounded Corners 27">
          <a:extLst>
            <a:ext uri="{FF2B5EF4-FFF2-40B4-BE49-F238E27FC236}">
              <a16:creationId xmlns:a16="http://schemas.microsoft.com/office/drawing/2014/main" id="{E515A2DA-34C7-4C4C-8930-44B35C46C109}"/>
            </a:ext>
          </a:extLst>
        </xdr:cNvPr>
        <xdr:cNvSpPr>
          <a:spLocks/>
        </xdr:cNvSpPr>
      </xdr:nvSpPr>
      <xdr:spPr>
        <a:xfrm>
          <a:off x="13591475" y="1135583"/>
          <a:ext cx="2646381" cy="849744"/>
        </a:xfrm>
        <a:prstGeom prst="roundRect">
          <a:avLst/>
        </a:prstGeom>
        <a:solidFill>
          <a:srgbClr val="3E7B68"/>
        </a:solidFill>
        <a:ln>
          <a:solidFill>
            <a:srgbClr val="3E7B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mn-lt"/>
              <a:ea typeface="+mn-ea"/>
              <a:cs typeface="+mn-cs"/>
            </a:rPr>
            <a:t>Profit growth vs PY</a:t>
          </a:r>
        </a:p>
      </xdr:txBody>
    </xdr:sp>
    <xdr:clientData/>
  </xdr:twoCellAnchor>
  <xdr:twoCellAnchor editAs="absolute">
    <xdr:from>
      <xdr:col>20</xdr:col>
      <xdr:colOff>340928</xdr:colOff>
      <xdr:row>7</xdr:row>
      <xdr:rowOff>162329</xdr:rowOff>
    </xdr:from>
    <xdr:to>
      <xdr:col>22</xdr:col>
      <xdr:colOff>578447</xdr:colOff>
      <xdr:row>10</xdr:row>
      <xdr:rowOff>143731</xdr:rowOff>
    </xdr:to>
    <xdr:sp macro="" textlink="Sheet2!F5">
      <xdr:nvSpPr>
        <xdr:cNvPr id="29" name="TextBox 28">
          <a:extLst>
            <a:ext uri="{FF2B5EF4-FFF2-40B4-BE49-F238E27FC236}">
              <a16:creationId xmlns:a16="http://schemas.microsoft.com/office/drawing/2014/main" id="{257AE7E7-BC61-4C63-AE93-E95D4C39961B}"/>
            </a:ext>
          </a:extLst>
        </xdr:cNvPr>
        <xdr:cNvSpPr txBox="1">
          <a:spLocks/>
        </xdr:cNvSpPr>
      </xdr:nvSpPr>
      <xdr:spPr>
        <a:xfrm>
          <a:off x="14141971" y="1422851"/>
          <a:ext cx="1659161" cy="521626"/>
        </a:xfrm>
        <a:prstGeom prst="rect">
          <a:avLst/>
        </a:prstGeom>
        <a:solidFill>
          <a:srgbClr val="3E7B68"/>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00D216D-D22C-4987-BC46-0786A7ABEC6E}" type="TxLink">
            <a:rPr lang="en-US" sz="2000" b="1" i="0" u="none" strike="noStrike">
              <a:solidFill>
                <a:schemeClr val="bg1"/>
              </a:solidFill>
              <a:effectLst/>
              <a:latin typeface="Calibri"/>
              <a:ea typeface="Calibri"/>
              <a:cs typeface="Calibri"/>
            </a:rPr>
            <a:t>5.63%</a:t>
          </a:fld>
          <a:endParaRPr lang="en-IN" sz="2000" b="1">
            <a:solidFill>
              <a:schemeClr val="bg1"/>
            </a:solidFill>
          </a:endParaRPr>
        </a:p>
      </xdr:txBody>
    </xdr:sp>
    <xdr:clientData/>
  </xdr:twoCellAnchor>
  <xdr:twoCellAnchor editAs="absolute">
    <xdr:from>
      <xdr:col>15</xdr:col>
      <xdr:colOff>624354</xdr:colOff>
      <xdr:row>6</xdr:row>
      <xdr:rowOff>76897</xdr:rowOff>
    </xdr:from>
    <xdr:to>
      <xdr:col>19</xdr:col>
      <xdr:colOff>1545</xdr:colOff>
      <xdr:row>10</xdr:row>
      <xdr:rowOff>162820</xdr:rowOff>
    </xdr:to>
    <xdr:sp macro="" textlink="">
      <xdr:nvSpPr>
        <xdr:cNvPr id="30" name="Rectangle: Rounded Corners 29">
          <a:extLst>
            <a:ext uri="{FF2B5EF4-FFF2-40B4-BE49-F238E27FC236}">
              <a16:creationId xmlns:a16="http://schemas.microsoft.com/office/drawing/2014/main" id="{A721B5E2-F1B0-473E-B007-08C0C7D29AA7}"/>
            </a:ext>
          </a:extLst>
        </xdr:cNvPr>
        <xdr:cNvSpPr>
          <a:spLocks/>
        </xdr:cNvSpPr>
      </xdr:nvSpPr>
      <xdr:spPr>
        <a:xfrm>
          <a:off x="10844136" y="1157345"/>
          <a:ext cx="2348699" cy="806221"/>
        </a:xfrm>
        <a:prstGeom prst="roundRect">
          <a:avLst/>
        </a:prstGeom>
        <a:solidFill>
          <a:srgbClr val="3E7B68"/>
        </a:solidFill>
        <a:ln>
          <a:solidFill>
            <a:srgbClr val="3E7B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mn-lt"/>
              <a:ea typeface="+mn-ea"/>
              <a:cs typeface="+mn-cs"/>
            </a:rPr>
            <a:t>Profit Last Year</a:t>
          </a:r>
        </a:p>
      </xdr:txBody>
    </xdr:sp>
    <xdr:clientData/>
  </xdr:twoCellAnchor>
  <xdr:twoCellAnchor editAs="absolute">
    <xdr:from>
      <xdr:col>16</xdr:col>
      <xdr:colOff>314838</xdr:colOff>
      <xdr:row>8</xdr:row>
      <xdr:rowOff>8853</xdr:rowOff>
    </xdr:from>
    <xdr:to>
      <xdr:col>18</xdr:col>
      <xdr:colOff>151738</xdr:colOff>
      <xdr:row>10</xdr:row>
      <xdr:rowOff>79222</xdr:rowOff>
    </xdr:to>
    <xdr:sp macro="" textlink="Sheet2!C4">
      <xdr:nvSpPr>
        <xdr:cNvPr id="31" name="TextBox 30">
          <a:extLst>
            <a:ext uri="{FF2B5EF4-FFF2-40B4-BE49-F238E27FC236}">
              <a16:creationId xmlns:a16="http://schemas.microsoft.com/office/drawing/2014/main" id="{7733D963-C80D-4ED3-B7B4-F9638B779DB6}"/>
            </a:ext>
          </a:extLst>
        </xdr:cNvPr>
        <xdr:cNvSpPr txBox="1">
          <a:spLocks/>
        </xdr:cNvSpPr>
      </xdr:nvSpPr>
      <xdr:spPr>
        <a:xfrm>
          <a:off x="11349694" y="1449450"/>
          <a:ext cx="1389953" cy="430518"/>
        </a:xfrm>
        <a:prstGeom prst="rect">
          <a:avLst/>
        </a:prstGeom>
        <a:solidFill>
          <a:srgbClr val="3E7B68"/>
        </a:solidFill>
        <a:ln>
          <a:solidFill>
            <a:srgbClr val="3E7B68"/>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F645AE71-FFE1-4175-944D-743057BB263B}" type="TxLink">
            <a:rPr lang="en-US" sz="2000" b="1" i="0" u="none" strike="noStrike">
              <a:solidFill>
                <a:schemeClr val="bg1"/>
              </a:solidFill>
              <a:latin typeface="Calibri"/>
              <a:ea typeface="Calibri"/>
              <a:cs typeface="Calibri"/>
            </a:rPr>
            <a:t>132849</a:t>
          </a:fld>
          <a:endParaRPr lang="en-IN" sz="2000" b="1">
            <a:solidFill>
              <a:schemeClr val="bg1"/>
            </a:solidFill>
            <a:latin typeface="+mn-lt"/>
            <a:ea typeface="+mn-ea"/>
            <a:cs typeface="+mn-cs"/>
          </a:endParaRPr>
        </a:p>
      </xdr:txBody>
    </xdr:sp>
    <xdr:clientData/>
  </xdr:twoCellAnchor>
  <xdr:twoCellAnchor editAs="absolute">
    <xdr:from>
      <xdr:col>11</xdr:col>
      <xdr:colOff>553517</xdr:colOff>
      <xdr:row>6</xdr:row>
      <xdr:rowOff>62680</xdr:rowOff>
    </xdr:from>
    <xdr:to>
      <xdr:col>15</xdr:col>
      <xdr:colOff>243502</xdr:colOff>
      <xdr:row>11</xdr:row>
      <xdr:rowOff>647</xdr:rowOff>
    </xdr:to>
    <xdr:sp macro="" textlink="">
      <xdr:nvSpPr>
        <xdr:cNvPr id="32" name="Rectangle: Rounded Corners 31">
          <a:extLst>
            <a:ext uri="{FF2B5EF4-FFF2-40B4-BE49-F238E27FC236}">
              <a16:creationId xmlns:a16="http://schemas.microsoft.com/office/drawing/2014/main" id="{14E28346-7CCC-4EEA-9F93-7AECAD8F9BE0}"/>
            </a:ext>
          </a:extLst>
        </xdr:cNvPr>
        <xdr:cNvSpPr>
          <a:spLocks/>
        </xdr:cNvSpPr>
      </xdr:nvSpPr>
      <xdr:spPr>
        <a:xfrm>
          <a:off x="8174975" y="1143128"/>
          <a:ext cx="2288309" cy="834654"/>
        </a:xfrm>
        <a:prstGeom prst="roundRect">
          <a:avLst/>
        </a:prstGeom>
        <a:solidFill>
          <a:srgbClr val="3E7B68"/>
        </a:solidFill>
        <a:ln>
          <a:solidFill>
            <a:srgbClr val="3E7B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t>Profit Latest Year</a:t>
          </a:r>
          <a:endParaRPr lang="en-IN" sz="1400" b="1"/>
        </a:p>
      </xdr:txBody>
    </xdr:sp>
    <xdr:clientData/>
  </xdr:twoCellAnchor>
  <xdr:twoCellAnchor editAs="absolute">
    <xdr:from>
      <xdr:col>12</xdr:col>
      <xdr:colOff>250916</xdr:colOff>
      <xdr:row>8</xdr:row>
      <xdr:rowOff>20337</xdr:rowOff>
    </xdr:from>
    <xdr:to>
      <xdr:col>14</xdr:col>
      <xdr:colOff>428177</xdr:colOff>
      <xdr:row>10</xdr:row>
      <xdr:rowOff>86695</xdr:rowOff>
    </xdr:to>
    <xdr:sp macro="" textlink="Sheet2!C5">
      <xdr:nvSpPr>
        <xdr:cNvPr id="33" name="TextBox 32">
          <a:extLst>
            <a:ext uri="{FF2B5EF4-FFF2-40B4-BE49-F238E27FC236}">
              <a16:creationId xmlns:a16="http://schemas.microsoft.com/office/drawing/2014/main" id="{878AB0A1-E56B-40F5-8E2E-C1AD8BD33AE9}"/>
            </a:ext>
          </a:extLst>
        </xdr:cNvPr>
        <xdr:cNvSpPr txBox="1">
          <a:spLocks/>
        </xdr:cNvSpPr>
      </xdr:nvSpPr>
      <xdr:spPr>
        <a:xfrm>
          <a:off x="8650997" y="1460934"/>
          <a:ext cx="1390394" cy="426507"/>
        </a:xfrm>
        <a:prstGeom prst="rect">
          <a:avLst/>
        </a:prstGeom>
        <a:solidFill>
          <a:srgbClr val="3E7B68"/>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2379D43-5649-4A83-8D9B-AD04B91D1B4A}" type="TxLink">
            <a:rPr lang="en-US" sz="2000" b="1" i="0" u="none" strike="noStrike">
              <a:solidFill>
                <a:schemeClr val="bg1"/>
              </a:solidFill>
              <a:effectLst/>
              <a:latin typeface="Calibri"/>
              <a:ea typeface="Calibri"/>
              <a:cs typeface="Calibri"/>
            </a:rPr>
            <a:t>140331</a:t>
          </a:fld>
          <a:endParaRPr lang="en-IN" sz="2000" b="1">
            <a:solidFill>
              <a:schemeClr val="bg1"/>
            </a:solidFill>
          </a:endParaRPr>
        </a:p>
      </xdr:txBody>
    </xdr:sp>
    <xdr:clientData/>
  </xdr:twoCellAnchor>
  <xdr:twoCellAnchor editAs="absolute">
    <xdr:from>
      <xdr:col>8</xdr:col>
      <xdr:colOff>206810</xdr:colOff>
      <xdr:row>6</xdr:row>
      <xdr:rowOff>91113</xdr:rowOff>
    </xdr:from>
    <xdr:to>
      <xdr:col>11</xdr:col>
      <xdr:colOff>131229</xdr:colOff>
      <xdr:row>10</xdr:row>
      <xdr:rowOff>148603</xdr:rowOff>
    </xdr:to>
    <xdr:sp macro="" textlink="">
      <xdr:nvSpPr>
        <xdr:cNvPr id="34" name="Rectangle: Rounded Corners 33">
          <a:extLst>
            <a:ext uri="{FF2B5EF4-FFF2-40B4-BE49-F238E27FC236}">
              <a16:creationId xmlns:a16="http://schemas.microsoft.com/office/drawing/2014/main" id="{EC5945E9-FAA0-4AA2-BEAB-306A40BCDDF1}"/>
            </a:ext>
          </a:extLst>
        </xdr:cNvPr>
        <xdr:cNvSpPr>
          <a:spLocks/>
        </xdr:cNvSpPr>
      </xdr:nvSpPr>
      <xdr:spPr>
        <a:xfrm>
          <a:off x="5619985" y="1171561"/>
          <a:ext cx="2132702" cy="777788"/>
        </a:xfrm>
        <a:prstGeom prst="roundRect">
          <a:avLst/>
        </a:prstGeom>
        <a:solidFill>
          <a:srgbClr val="3E7B68"/>
        </a:solidFill>
        <a:ln>
          <a:solidFill>
            <a:srgbClr val="3E7B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Sales</a:t>
          </a:r>
          <a:r>
            <a:rPr lang="en-IN" sz="1400" b="1" baseline="0"/>
            <a:t> growth vs PY</a:t>
          </a:r>
          <a:endParaRPr lang="en-IN" sz="1400" b="1"/>
        </a:p>
      </xdr:txBody>
    </xdr:sp>
    <xdr:clientData/>
  </xdr:twoCellAnchor>
  <xdr:twoCellAnchor editAs="absolute">
    <xdr:from>
      <xdr:col>8</xdr:col>
      <xdr:colOff>603786</xdr:colOff>
      <xdr:row>8</xdr:row>
      <xdr:rowOff>39291</xdr:rowOff>
    </xdr:from>
    <xdr:to>
      <xdr:col>10</xdr:col>
      <xdr:colOff>565225</xdr:colOff>
      <xdr:row>10</xdr:row>
      <xdr:rowOff>105649</xdr:rowOff>
    </xdr:to>
    <xdr:sp macro="" textlink="Sheet2!E5">
      <xdr:nvSpPr>
        <xdr:cNvPr id="35" name="TextBox 34">
          <a:extLst>
            <a:ext uri="{FF2B5EF4-FFF2-40B4-BE49-F238E27FC236}">
              <a16:creationId xmlns:a16="http://schemas.microsoft.com/office/drawing/2014/main" id="{90F47487-0DCB-47EB-9396-0B7CCA71DFA2}"/>
            </a:ext>
          </a:extLst>
        </xdr:cNvPr>
        <xdr:cNvSpPr txBox="1">
          <a:spLocks/>
        </xdr:cNvSpPr>
      </xdr:nvSpPr>
      <xdr:spPr>
        <a:xfrm>
          <a:off x="6012952" y="1479888"/>
          <a:ext cx="1387090" cy="426507"/>
        </a:xfrm>
        <a:prstGeom prst="rect">
          <a:avLst/>
        </a:prstGeom>
        <a:solidFill>
          <a:srgbClr val="3E7B68"/>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701C7B6-5D62-44D7-AC05-0520039F3EA3}" type="TxLink">
            <a:rPr lang="en-US" sz="2000" b="1" i="0" u="none" strike="noStrike">
              <a:solidFill>
                <a:schemeClr val="bg1"/>
              </a:solidFill>
              <a:effectLst/>
              <a:latin typeface="Calibri"/>
              <a:ea typeface="Calibri"/>
              <a:cs typeface="Calibri"/>
            </a:rPr>
            <a:t>4.36%</a:t>
          </a:fld>
          <a:endParaRPr lang="en-IN" sz="2000" b="1">
            <a:solidFill>
              <a:schemeClr val="bg1"/>
            </a:solidFill>
          </a:endParaRPr>
        </a:p>
      </xdr:txBody>
    </xdr:sp>
    <xdr:clientData/>
  </xdr:twoCellAnchor>
  <xdr:twoCellAnchor editAs="absolute">
    <xdr:from>
      <xdr:col>4</xdr:col>
      <xdr:colOff>323304</xdr:colOff>
      <xdr:row>6</xdr:row>
      <xdr:rowOff>110068</xdr:rowOff>
    </xdr:from>
    <xdr:to>
      <xdr:col>7</xdr:col>
      <xdr:colOff>339737</xdr:colOff>
      <xdr:row>10</xdr:row>
      <xdr:rowOff>129648</xdr:rowOff>
    </xdr:to>
    <xdr:sp macro="" textlink="">
      <xdr:nvSpPr>
        <xdr:cNvPr id="36" name="Rectangle: Rounded Corners 35">
          <a:extLst>
            <a:ext uri="{FF2B5EF4-FFF2-40B4-BE49-F238E27FC236}">
              <a16:creationId xmlns:a16="http://schemas.microsoft.com/office/drawing/2014/main" id="{C862DB4D-D2A3-4CC8-A418-BB14117F511E}"/>
            </a:ext>
          </a:extLst>
        </xdr:cNvPr>
        <xdr:cNvSpPr>
          <a:spLocks/>
        </xdr:cNvSpPr>
      </xdr:nvSpPr>
      <xdr:spPr>
        <a:xfrm>
          <a:off x="2958080" y="1190516"/>
          <a:ext cx="2188264" cy="739878"/>
        </a:xfrm>
        <a:prstGeom prst="roundRect">
          <a:avLst/>
        </a:prstGeom>
        <a:solidFill>
          <a:srgbClr val="3E7B68"/>
        </a:solidFill>
        <a:ln>
          <a:solidFill>
            <a:srgbClr val="3E7B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Sales</a:t>
          </a:r>
          <a:r>
            <a:rPr lang="en-IN" sz="1400" b="1" baseline="0"/>
            <a:t> Last Year</a:t>
          </a:r>
          <a:endParaRPr lang="en-IN" sz="1400" b="1"/>
        </a:p>
      </xdr:txBody>
    </xdr:sp>
    <xdr:clientData/>
  </xdr:twoCellAnchor>
  <xdr:twoCellAnchor editAs="absolute">
    <xdr:from>
      <xdr:col>4</xdr:col>
      <xdr:colOff>500673</xdr:colOff>
      <xdr:row>8</xdr:row>
      <xdr:rowOff>61056</xdr:rowOff>
    </xdr:from>
    <xdr:to>
      <xdr:col>7</xdr:col>
      <xdr:colOff>293077</xdr:colOff>
      <xdr:row>10</xdr:row>
      <xdr:rowOff>146537</xdr:rowOff>
    </xdr:to>
    <xdr:sp macro="" textlink="Sheet2!B4">
      <xdr:nvSpPr>
        <xdr:cNvPr id="37" name="TextBox 36">
          <a:extLst>
            <a:ext uri="{FF2B5EF4-FFF2-40B4-BE49-F238E27FC236}">
              <a16:creationId xmlns:a16="http://schemas.microsoft.com/office/drawing/2014/main" id="{ADCD4962-4587-40D4-9352-EB07B5422FE3}"/>
            </a:ext>
          </a:extLst>
        </xdr:cNvPr>
        <xdr:cNvSpPr txBox="1">
          <a:spLocks/>
        </xdr:cNvSpPr>
      </xdr:nvSpPr>
      <xdr:spPr>
        <a:xfrm>
          <a:off x="3150577" y="1526441"/>
          <a:ext cx="1966058" cy="451827"/>
        </a:xfrm>
        <a:prstGeom prst="rect">
          <a:avLst/>
        </a:prstGeom>
        <a:solidFill>
          <a:srgbClr val="3E7B68"/>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B058810-36DD-4191-9885-B7FB01C0F6DC}" type="TxLink">
            <a:rPr lang="en-US" sz="2000" b="1" i="0" u="none" strike="noStrike">
              <a:solidFill>
                <a:schemeClr val="bg1"/>
              </a:solidFill>
              <a:effectLst/>
              <a:latin typeface="Calibri"/>
              <a:ea typeface="Calibri"/>
              <a:cs typeface="Calibri"/>
            </a:rPr>
            <a:t>1697869.977</a:t>
          </a:fld>
          <a:endParaRPr lang="en-IN" sz="2000" b="1">
            <a:solidFill>
              <a:schemeClr val="bg1"/>
            </a:solidFill>
          </a:endParaRPr>
        </a:p>
      </xdr:txBody>
    </xdr:sp>
    <xdr:clientData/>
  </xdr:twoCellAnchor>
  <xdr:twoCellAnchor>
    <xdr:from>
      <xdr:col>0</xdr:col>
      <xdr:colOff>252192</xdr:colOff>
      <xdr:row>12</xdr:row>
      <xdr:rowOff>39389</xdr:rowOff>
    </xdr:from>
    <xdr:to>
      <xdr:col>24</xdr:col>
      <xdr:colOff>289004</xdr:colOff>
      <xdr:row>12</xdr:row>
      <xdr:rowOff>39389</xdr:rowOff>
    </xdr:to>
    <xdr:cxnSp macro="">
      <xdr:nvCxnSpPr>
        <xdr:cNvPr id="39" name="Straight Connector 38">
          <a:extLst>
            <a:ext uri="{FF2B5EF4-FFF2-40B4-BE49-F238E27FC236}">
              <a16:creationId xmlns:a16="http://schemas.microsoft.com/office/drawing/2014/main" id="{C180E616-8548-DDE8-6B54-B27D5B352970}"/>
            </a:ext>
          </a:extLst>
        </xdr:cNvPr>
        <xdr:cNvCxnSpPr/>
      </xdr:nvCxnSpPr>
      <xdr:spPr>
        <a:xfrm>
          <a:off x="252192" y="2356582"/>
          <a:ext cx="17003566" cy="0"/>
        </a:xfrm>
        <a:prstGeom prst="line">
          <a:avLst/>
        </a:prstGeom>
        <a:ln>
          <a:solidFill>
            <a:srgbClr val="3E7B68"/>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253631</xdr:colOff>
      <xdr:row>25</xdr:row>
      <xdr:rowOff>180009</xdr:rowOff>
    </xdr:from>
    <xdr:to>
      <xdr:col>24</xdr:col>
      <xdr:colOff>290443</xdr:colOff>
      <xdr:row>25</xdr:row>
      <xdr:rowOff>180009</xdr:rowOff>
    </xdr:to>
    <xdr:cxnSp macro="">
      <xdr:nvCxnSpPr>
        <xdr:cNvPr id="47" name="Straight Connector 46">
          <a:extLst>
            <a:ext uri="{FF2B5EF4-FFF2-40B4-BE49-F238E27FC236}">
              <a16:creationId xmlns:a16="http://schemas.microsoft.com/office/drawing/2014/main" id="{DA52042B-A23B-4306-8FDF-3BD0187F632B}"/>
            </a:ext>
          </a:extLst>
        </xdr:cNvPr>
        <xdr:cNvCxnSpPr/>
      </xdr:nvCxnSpPr>
      <xdr:spPr>
        <a:xfrm>
          <a:off x="253631" y="4799864"/>
          <a:ext cx="14614203" cy="0"/>
        </a:xfrm>
        <a:prstGeom prst="line">
          <a:avLst/>
        </a:prstGeom>
        <a:ln>
          <a:solidFill>
            <a:srgbClr val="3E7B68"/>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11759</xdr:colOff>
      <xdr:row>31</xdr:row>
      <xdr:rowOff>11758</xdr:rowOff>
    </xdr:from>
    <xdr:to>
      <xdr:col>13</xdr:col>
      <xdr:colOff>11759</xdr:colOff>
      <xdr:row>46</xdr:row>
      <xdr:rowOff>174200</xdr:rowOff>
    </xdr:to>
    <xdr:graphicFrame macro="">
      <xdr:nvGraphicFramePr>
        <xdr:cNvPr id="48" name="Chart 47">
          <a:extLst>
            <a:ext uri="{FF2B5EF4-FFF2-40B4-BE49-F238E27FC236}">
              <a16:creationId xmlns:a16="http://schemas.microsoft.com/office/drawing/2014/main" id="{41F8A18F-8614-46E4-ABE8-5DC393624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31</xdr:row>
      <xdr:rowOff>1</xdr:rowOff>
    </xdr:from>
    <xdr:to>
      <xdr:col>24</xdr:col>
      <xdr:colOff>0</xdr:colOff>
      <xdr:row>47</xdr:row>
      <xdr:rowOff>1</xdr:rowOff>
    </xdr:to>
    <xdr:graphicFrame macro="">
      <xdr:nvGraphicFramePr>
        <xdr:cNvPr id="49" name="Chart 48">
          <a:extLst>
            <a:ext uri="{FF2B5EF4-FFF2-40B4-BE49-F238E27FC236}">
              <a16:creationId xmlns:a16="http://schemas.microsoft.com/office/drawing/2014/main" id="{2E314536-1B7C-4ECA-811C-661BEA423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504725</xdr:colOff>
      <xdr:row>12</xdr:row>
      <xdr:rowOff>220649</xdr:rowOff>
    </xdr:from>
    <xdr:to>
      <xdr:col>11</xdr:col>
      <xdr:colOff>44562</xdr:colOff>
      <xdr:row>14</xdr:row>
      <xdr:rowOff>311721</xdr:rowOff>
    </xdr:to>
    <mc:AlternateContent xmlns:mc="http://schemas.openxmlformats.org/markup-compatibility/2006">
      <mc:Choice xmlns:a14="http://schemas.microsoft.com/office/drawing/2010/main" Requires="a14">
        <xdr:graphicFrame macro="">
          <xdr:nvGraphicFramePr>
            <xdr:cNvPr id="52" name="CustomerType 3">
              <a:extLst>
                <a:ext uri="{FF2B5EF4-FFF2-40B4-BE49-F238E27FC236}">
                  <a16:creationId xmlns:a16="http://schemas.microsoft.com/office/drawing/2014/main" id="{281640A7-5E04-450D-A6D5-C27BA393D4C6}"/>
                </a:ext>
              </a:extLst>
            </xdr:cNvPr>
            <xdr:cNvGraphicFramePr/>
          </xdr:nvGraphicFramePr>
          <xdr:xfrm>
            <a:off x="0" y="0"/>
            <a:ext cx="0" cy="0"/>
          </xdr:xfrm>
          <a:graphic>
            <a:graphicData uri="http://schemas.microsoft.com/office/drawing/2010/slicer">
              <sle:slicer xmlns:sle="http://schemas.microsoft.com/office/drawing/2010/slicer" name="CustomerType 3"/>
            </a:graphicData>
          </a:graphic>
        </xdr:graphicFrame>
      </mc:Choice>
      <mc:Fallback>
        <xdr:sp macro="" textlink="">
          <xdr:nvSpPr>
            <xdr:cNvPr id="0" name=""/>
            <xdr:cNvSpPr>
              <a:spLocks noTextEdit="1"/>
            </xdr:cNvSpPr>
          </xdr:nvSpPr>
          <xdr:spPr>
            <a:xfrm>
              <a:off x="504725" y="2537842"/>
              <a:ext cx="7237819" cy="636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467896</xdr:colOff>
      <xdr:row>12</xdr:row>
      <xdr:rowOff>183589</xdr:rowOff>
    </xdr:from>
    <xdr:to>
      <xdr:col>24</xdr:col>
      <xdr:colOff>11141</xdr:colOff>
      <xdr:row>14</xdr:row>
      <xdr:rowOff>326499</xdr:rowOff>
    </xdr:to>
    <mc:AlternateContent xmlns:mc="http://schemas.openxmlformats.org/markup-compatibility/2006">
      <mc:Choice xmlns:a14="http://schemas.microsoft.com/office/drawing/2010/main" Requires="a14">
        <xdr:graphicFrame macro="">
          <xdr:nvGraphicFramePr>
            <xdr:cNvPr id="53" name="RegionManager 1">
              <a:extLst>
                <a:ext uri="{FF2B5EF4-FFF2-40B4-BE49-F238E27FC236}">
                  <a16:creationId xmlns:a16="http://schemas.microsoft.com/office/drawing/2014/main" id="{FB46BDA6-0648-4EB8-848B-AF99E015FEBA}"/>
                </a:ext>
              </a:extLst>
            </xdr:cNvPr>
            <xdr:cNvGraphicFramePr/>
          </xdr:nvGraphicFramePr>
          <xdr:xfrm>
            <a:off x="0" y="0"/>
            <a:ext cx="0" cy="0"/>
          </xdr:xfrm>
          <a:graphic>
            <a:graphicData uri="http://schemas.microsoft.com/office/drawing/2010/slicer">
              <sle:slicer xmlns:sle="http://schemas.microsoft.com/office/drawing/2010/slicer" name="RegionManager 1"/>
            </a:graphicData>
          </a:graphic>
        </xdr:graphicFrame>
      </mc:Choice>
      <mc:Fallback>
        <xdr:sp macro="" textlink="">
          <xdr:nvSpPr>
            <xdr:cNvPr id="0" name=""/>
            <xdr:cNvSpPr>
              <a:spLocks noTextEdit="1"/>
            </xdr:cNvSpPr>
          </xdr:nvSpPr>
          <xdr:spPr>
            <a:xfrm>
              <a:off x="8165878" y="2500782"/>
              <a:ext cx="8812017" cy="688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389912</xdr:colOff>
      <xdr:row>26</xdr:row>
      <xdr:rowOff>141111</xdr:rowOff>
    </xdr:from>
    <xdr:to>
      <xdr:col>9</xdr:col>
      <xdr:colOff>681074</xdr:colOff>
      <xdr:row>30</xdr:row>
      <xdr:rowOff>70554</xdr:rowOff>
    </xdr:to>
    <mc:AlternateContent xmlns:mc="http://schemas.openxmlformats.org/markup-compatibility/2006">
      <mc:Choice xmlns:a14="http://schemas.microsoft.com/office/drawing/2010/main" Requires="a14">
        <xdr:graphicFrame macro="">
          <xdr:nvGraphicFramePr>
            <xdr:cNvPr id="58" name="PaymentMethod 1">
              <a:extLst>
                <a:ext uri="{FF2B5EF4-FFF2-40B4-BE49-F238E27FC236}">
                  <a16:creationId xmlns:a16="http://schemas.microsoft.com/office/drawing/2014/main" id="{25199C5D-C00D-4158-9E08-4C166DFF6DF0}"/>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389912" y="5622164"/>
              <a:ext cx="6373794" cy="686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152869</xdr:colOff>
      <xdr:row>26</xdr:row>
      <xdr:rowOff>129352</xdr:rowOff>
    </xdr:from>
    <xdr:to>
      <xdr:col>14</xdr:col>
      <xdr:colOff>304778</xdr:colOff>
      <xdr:row>30</xdr:row>
      <xdr:rowOff>58795</xdr:rowOff>
    </xdr:to>
    <mc:AlternateContent xmlns:mc="http://schemas.openxmlformats.org/markup-compatibility/2006">
      <mc:Choice xmlns:a14="http://schemas.microsoft.com/office/drawing/2010/main" Requires="a14">
        <xdr:graphicFrame macro="">
          <xdr:nvGraphicFramePr>
            <xdr:cNvPr id="59" name="CustomerType 4">
              <a:extLst>
                <a:ext uri="{FF2B5EF4-FFF2-40B4-BE49-F238E27FC236}">
                  <a16:creationId xmlns:a16="http://schemas.microsoft.com/office/drawing/2014/main" id="{33E14687-8E8D-4474-884F-27078A628CE1}"/>
                </a:ext>
              </a:extLst>
            </xdr:cNvPr>
            <xdr:cNvGraphicFramePr/>
          </xdr:nvGraphicFramePr>
          <xdr:xfrm>
            <a:off x="0" y="0"/>
            <a:ext cx="0" cy="0"/>
          </xdr:xfrm>
          <a:graphic>
            <a:graphicData uri="http://schemas.microsoft.com/office/drawing/2010/slicer">
              <sle:slicer xmlns:sle="http://schemas.microsoft.com/office/drawing/2010/slicer" name="CustomerType 4"/>
            </a:graphicData>
          </a:graphic>
        </xdr:graphicFrame>
      </mc:Choice>
      <mc:Fallback>
        <xdr:sp macro="" textlink="">
          <xdr:nvSpPr>
            <xdr:cNvPr id="0" name=""/>
            <xdr:cNvSpPr>
              <a:spLocks noTextEdit="1"/>
            </xdr:cNvSpPr>
          </xdr:nvSpPr>
          <xdr:spPr>
            <a:xfrm>
              <a:off x="7059887" y="5610405"/>
              <a:ext cx="2959277" cy="686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47036</xdr:colOff>
      <xdr:row>26</xdr:row>
      <xdr:rowOff>117595</xdr:rowOff>
    </xdr:from>
    <xdr:to>
      <xdr:col>24</xdr:col>
      <xdr:colOff>44562</xdr:colOff>
      <xdr:row>30</xdr:row>
      <xdr:rowOff>23519</xdr:rowOff>
    </xdr:to>
    <mc:AlternateContent xmlns:mc="http://schemas.openxmlformats.org/markup-compatibility/2006">
      <mc:Choice xmlns:a14="http://schemas.microsoft.com/office/drawing/2010/main" Requires="a14">
        <xdr:graphicFrame macro="">
          <xdr:nvGraphicFramePr>
            <xdr:cNvPr id="60" name="Region 1">
              <a:extLst>
                <a:ext uri="{FF2B5EF4-FFF2-40B4-BE49-F238E27FC236}">
                  <a16:creationId xmlns:a16="http://schemas.microsoft.com/office/drawing/2014/main" id="{6FA6EDD9-FF9C-4588-9E1D-5E3616B5E72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74141" y="5598648"/>
              <a:ext cx="6637175" cy="66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xdr:row>
      <xdr:rowOff>0</xdr:rowOff>
    </xdr:from>
    <xdr:to>
      <xdr:col>23</xdr:col>
      <xdr:colOff>590439</xdr:colOff>
      <xdr:row>5</xdr:row>
      <xdr:rowOff>3226</xdr:rowOff>
    </xdr:to>
    <mc:AlternateContent xmlns:mc="http://schemas.openxmlformats.org/markup-compatibility/2006">
      <mc:Choice xmlns:a14="http://schemas.microsoft.com/office/drawing/2010/main" Requires="a14">
        <xdr:graphicFrame macro="">
          <xdr:nvGraphicFramePr>
            <xdr:cNvPr id="62" name="Product 2">
              <a:extLst>
                <a:ext uri="{FF2B5EF4-FFF2-40B4-BE49-F238E27FC236}">
                  <a16:creationId xmlns:a16="http://schemas.microsoft.com/office/drawing/2014/main" id="{825B3652-9791-49A3-B3F1-EBC5395C8D28}"/>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9714386" y="189386"/>
              <a:ext cx="7051842" cy="760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256442</xdr:colOff>
      <xdr:row>1</xdr:row>
      <xdr:rowOff>1</xdr:rowOff>
    </xdr:from>
    <xdr:to>
      <xdr:col>13</xdr:col>
      <xdr:colOff>488462</xdr:colOff>
      <xdr:row>4</xdr:row>
      <xdr:rowOff>134328</xdr:rowOff>
    </xdr:to>
    <mc:AlternateContent xmlns:mc="http://schemas.openxmlformats.org/markup-compatibility/2006">
      <mc:Choice xmlns:a14="http://schemas.microsoft.com/office/drawing/2010/main" Requires="a14">
        <xdr:graphicFrame macro="">
          <xdr:nvGraphicFramePr>
            <xdr:cNvPr id="63" name="Years (OrderDate) 1">
              <a:extLst>
                <a:ext uri="{FF2B5EF4-FFF2-40B4-BE49-F238E27FC236}">
                  <a16:creationId xmlns:a16="http://schemas.microsoft.com/office/drawing/2014/main" id="{13CBC474-ACE0-4D9F-839F-81DA341D12FB}"/>
                </a:ext>
              </a:extLst>
            </xdr:cNvPr>
            <xdr:cNvGraphicFramePr/>
          </xdr:nvGraphicFramePr>
          <xdr:xfrm>
            <a:off x="0" y="0"/>
            <a:ext cx="0" cy="0"/>
          </xdr:xfrm>
          <a:graphic>
            <a:graphicData uri="http://schemas.microsoft.com/office/drawing/2010/slicer">
              <sle:slicer xmlns:sle="http://schemas.microsoft.com/office/drawing/2010/slicer" name="Years (OrderDate) 1"/>
            </a:graphicData>
          </a:graphic>
        </xdr:graphicFrame>
      </mc:Choice>
      <mc:Fallback>
        <xdr:sp macro="" textlink="">
          <xdr:nvSpPr>
            <xdr:cNvPr id="0" name=""/>
            <xdr:cNvSpPr>
              <a:spLocks noTextEdit="1"/>
            </xdr:cNvSpPr>
          </xdr:nvSpPr>
          <xdr:spPr>
            <a:xfrm>
              <a:off x="2918986" y="189387"/>
              <a:ext cx="6671143" cy="702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34324</xdr:colOff>
      <xdr:row>0</xdr:row>
      <xdr:rowOff>34324</xdr:rowOff>
    </xdr:from>
    <xdr:to>
      <xdr:col>25</xdr:col>
      <xdr:colOff>120135</xdr:colOff>
      <xdr:row>48</xdr:row>
      <xdr:rowOff>171621</xdr:rowOff>
    </xdr:to>
    <xdr:sp macro="" textlink="">
      <xdr:nvSpPr>
        <xdr:cNvPr id="64" name="Flowchart: Process 63">
          <a:extLst>
            <a:ext uri="{FF2B5EF4-FFF2-40B4-BE49-F238E27FC236}">
              <a16:creationId xmlns:a16="http://schemas.microsoft.com/office/drawing/2014/main" id="{B3E66B50-12B6-B28A-CDA9-7DD8BE3516E1}"/>
            </a:ext>
          </a:extLst>
        </xdr:cNvPr>
        <xdr:cNvSpPr/>
      </xdr:nvSpPr>
      <xdr:spPr>
        <a:xfrm>
          <a:off x="34324" y="34324"/>
          <a:ext cx="17711352" cy="9748108"/>
        </a:xfrm>
        <a:prstGeom prst="flowChartProcess">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6053.950296527779" createdVersion="8" refreshedVersion="8" minRefreshableVersion="3" recordCount="1500" xr:uid="{3B4B4AFD-68CA-4BC1-B1EC-00760A218FE9}">
  <cacheSource type="worksheet">
    <worksheetSource ref="A1:Y1501" sheet="Sheet1"/>
  </cacheSource>
  <cacheFields count="28">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ount="20">
        <n v="14"/>
        <n v="1"/>
        <n v="18"/>
        <n v="2"/>
        <n v="7"/>
        <n v="3"/>
        <n v="5"/>
        <n v="15"/>
        <n v="19"/>
        <n v="17"/>
        <n v="11"/>
        <n v="20"/>
        <n v="10"/>
        <n v="12"/>
        <n v="13"/>
        <n v="4"/>
        <n v="6"/>
        <n v="9"/>
        <n v="16"/>
        <n v="8"/>
      </sharedItems>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ount="1371">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7"/>
    </cacheField>
    <cacheField name="DeliveryDate" numFmtId="164">
      <sharedItems containsSemiMixedTypes="0" containsNonDate="0" containsDate="1" containsString="0" minDate="2023-01-08T00:00:00" maxDate="2025-07-11T00:00:00"/>
    </cacheField>
    <cacheField name="RegionManager" numFmtId="0">
      <sharedItems count="5">
        <s v="Eric"/>
        <s v="Sophie"/>
        <s v="Ryan"/>
        <s v="Cameron"/>
        <s v="Wendy"/>
      </sharedItems>
    </cacheField>
    <cacheField name="Gross Revenue" numFmtId="0">
      <sharedItems containsSemiMixedTypes="0" containsString="0" containsNumber="1" minValue="8.1999999999999993" maxValue="11526"/>
    </cacheField>
    <cacheField name="Discount AmountA" numFmtId="0">
      <sharedItems containsSemiMixedTypes="0" containsString="0" containsNumber="1" minValue="0" maxValue="1698.6854999999998"/>
    </cacheField>
    <cacheField name="Net Sales" numFmtId="0">
      <sharedItems containsSemiMixedTypes="0" containsString="0" containsNumber="1" minValue="6.97" maxValue="11077"/>
    </cacheField>
    <cacheField name="Delivery Time" numFmtId="0">
      <sharedItems containsSemiMixedTypes="0" containsString="0" containsNumber="1" containsInteger="1" minValue="2" maxValue="10"/>
    </cacheField>
    <cacheField name="Profit" numFmtId="0">
      <sharedItems containsSemiMixedTypes="0" containsString="0" containsNumber="1" minValue="-1698.6854999999996" maxValue="0" count="1103">
        <n v="0"/>
        <n v="-484.65200000000004"/>
        <n v="-1039.0140000000001"/>
        <n v="-115.52699999999993"/>
        <n v="-12.25"/>
        <n v="-148.59900000000005"/>
        <n v="-64.80600000000004"/>
        <n v="-161.6400000000001"/>
        <n v="-1177.4025000000001"/>
        <n v="-393.96500000000015"/>
        <n v="-6.0264999999999986"/>
        <n v="-23.674499999999995"/>
        <n v="-495.67500000000018"/>
        <n v="-138.51600000000008"/>
        <n v="-315.22699999999986"/>
        <n v="-1557.119999999999"/>
        <n v="-218.95300000000043"/>
        <n v="-850.89599999999973"/>
        <n v="-26.782499999999999"/>
        <n v="-47.206999999999994"/>
        <n v="-456.50849999999991"/>
        <n v="-335.83199999999988"/>
        <n v="-154.44450000000006"/>
        <n v="-316.06050000000005"/>
        <n v="-599.38199999999961"/>
        <n v="-150.98399999999992"/>
        <n v="-235.15999999999985"/>
        <n v="-65.170000000000073"/>
        <n v="-275.58600000000001"/>
        <n v="-41.605999999999995"/>
        <n v="-54.664499999999975"/>
        <n v="-699.02399999999989"/>
        <n v="-82.575000000000045"/>
        <n v="-509.92200000000003"/>
        <n v="-85.787000000000035"/>
        <n v="-26.941000000000003"/>
        <n v="-37.129999999999995"/>
        <n v="-475.596"/>
        <n v="-128.01249999999982"/>
        <n v="-373.01400000000012"/>
        <n v="-50.19"/>
        <n v="-206.51400000000012"/>
        <n v="-285.20100000000002"/>
        <n v="-885.18000000000029"/>
        <n v="-142.61699999999996"/>
        <n v="-113.39999999999998"/>
        <n v="-19.97399999999999"/>
        <n v="-122.63000000000011"/>
        <n v="-162.38400000000001"/>
        <n v="-15.941000000000003"/>
        <n v="-92.375999999999976"/>
        <n v="-738.8100000000004"/>
        <n v="-1096.0200000000004"/>
        <n v="-314.89249999999993"/>
        <n v="-127.29599999999982"/>
        <n v="-85.329000000000008"/>
        <n v="-553.90999999999985"/>
        <n v="-623.72800000000007"/>
        <n v="-413.68499999999995"/>
        <n v="-16.75"/>
        <n v="-312.71250000000009"/>
        <n v="-128.1869999999999"/>
        <n v="-388.67999999999984"/>
        <n v="-1096.6800000000003"/>
        <n v="-420.66399999999976"/>
        <n v="-308.53499999999985"/>
        <n v="-1063.9050000000007"/>
        <n v="-71.960000000000036"/>
        <n v="-889.47000000000025"/>
        <n v="-161.08399999999983"/>
        <n v="-263.09199999999964"/>
        <n v="-16.191500000000019"/>
        <n v="-1475.0399999999991"/>
        <n v="-398.18249999999989"/>
        <n v="-662.904"/>
        <n v="-56.535000000000082"/>
        <n v="-116.96300000000019"/>
        <n v="-57.855999999999995"/>
        <n v="-7.3940000000000055"/>
        <n v="-735.1840000000002"/>
        <n v="-78.834000000000003"/>
        <n v="-133.58600000000001"/>
        <n v="-27.997499999999945"/>
        <n v="-1449.9539999999997"/>
        <n v="-279.1840000000002"/>
        <n v="-28.913999999999987"/>
        <n v="-254.28499999999985"/>
        <n v="-285.57099999999991"/>
        <n v="-53.284999999999968"/>
        <n v="-16.349999999999994"/>
        <n v="-307.45600000000013"/>
        <n v="-393.26400000000012"/>
        <n v="-1466.7000000000007"/>
        <n v="-158.39600000000019"/>
        <n v="-174.13900000000012"/>
        <n v="-113.05799999999999"/>
        <n v="-146.88000000000011"/>
        <n v="-189.10449999999992"/>
        <n v="-252.43899999999985"/>
        <n v="-42.73599999999999"/>
        <n v="-44.350999999999999"/>
        <n v="-547.22849999999971"/>
        <n v="-812.48700000000008"/>
        <n v="-412.66800000000012"/>
        <n v="-1380.1125000000002"/>
        <n v="-342.36000000000013"/>
        <n v="-565.04600000000028"/>
        <n v="-158.20499999999993"/>
        <n v="-173.83050000000003"/>
        <n v="-937.68000000000029"/>
        <n v="-281.95049999999992"/>
        <n v="-29.006999999999948"/>
        <n v="-158.33100000000013"/>
        <n v="-97.630000000000109"/>
        <n v="-84.52800000000002"/>
        <n v="-288.52800000000002"/>
        <n v="-65.339999999999918"/>
        <n v="-92.450000000000045"/>
        <n v="-99.644999999999982"/>
        <n v="-343.25"/>
        <n v="-85.716000000000008"/>
        <n v="-68.119999999999891"/>
        <n v="-197.17200000000003"/>
        <n v="-325.18000000000029"/>
        <n v="-145.23599999999988"/>
        <n v="-448.69800000000032"/>
        <n v="-39.165499999999952"/>
        <n v="-333.01800000000003"/>
        <n v="-121.87200000000007"/>
        <n v="-151.06500000000005"/>
        <n v="-58.336000000000013"/>
        <n v="-379.73700000000008"/>
        <n v="-717.61499999999978"/>
        <n v="-259.90650000000005"/>
        <n v="-158.85899999999992"/>
        <n v="-323.10000000000036"/>
        <n v="-348.82400000000007"/>
        <n v="-128.56499999999994"/>
        <n v="-335.28600000000006"/>
        <n v="-128.94000000000005"/>
        <n v="-329.00799999999981"/>
        <n v="-145.9559999999999"/>
        <n v="-747.07200000000012"/>
        <n v="-471.33300000000008"/>
        <n v="-623.41650000000027"/>
        <n v="-198.28400000000011"/>
        <n v="-667.51199999999972"/>
        <n v="-58.019000000000005"/>
        <n v="-783.90399999999954"/>
        <n v="-110.3420000000001"/>
        <n v="-1518.7034999999996"/>
        <n v="-18.012"/>
        <n v="-542.69999999999982"/>
        <n v="-820.64999999999964"/>
        <n v="-112.23599999999999"/>
        <n v="-34.064000000000021"/>
        <n v="-812.71799999999985"/>
        <n v="-38.980500000000006"/>
        <n v="-268.25"/>
        <n v="-443.75400000000081"/>
        <n v="-7.3640000000000043"/>
        <n v="-744.21"/>
        <n v="-847.875"/>
        <n v="-86.908500000000004"/>
        <n v="-1038.3119999999999"/>
        <n v="-576.29999999999927"/>
        <n v="-38.475999999999999"/>
        <n v="-329.81900000000041"/>
        <n v="-28.660000000000025"/>
        <n v="-1348.9470000000001"/>
        <n v="-22.861999999999995"/>
        <n v="-1225.5810000000001"/>
        <n v="-138.96000000000004"/>
        <n v="-313.25399999999991"/>
        <n v="-314.6550000000002"/>
        <n v="-41.153999999999996"/>
        <n v="-87.230000000000018"/>
        <n v="-526.84500000000025"/>
        <n v="-771.59600000000046"/>
        <n v="-26.225999999999999"/>
        <n v="-154.99800000000005"/>
        <n v="-60.770999999999958"/>
        <n v="-597.01200000000017"/>
        <n v="-780.02099999999973"/>
        <n v="-674.73999999999978"/>
        <n v="-41.088000000000022"/>
        <n v="-198.21599999999989"/>
        <n v="-52.772999999999968"/>
        <n v="-112.37699999999995"/>
        <n v="-327.32000000000016"/>
        <n v="-56.435999999999922"/>
        <n v="-227.84850000000006"/>
        <n v="-55.491999999999962"/>
        <n v="-121.077"/>
        <n v="-338.36400000000049"/>
        <n v="-538.47000000000025"/>
        <n v="-758.15999999999985"/>
        <n v="-187.25399999999991"/>
        <n v="-1304.0550000000003"/>
        <n v="-326.14499999999998"/>
        <n v="-357.11250000000018"/>
        <n v="-44.514999999999986"/>
        <n v="-11.695999999999998"/>
        <n v="-213.15599999999995"/>
        <n v="-235.80799999999999"/>
        <n v="-111.92600000000004"/>
        <n v="-93.063999999999965"/>
        <n v="-346.30499999999984"/>
        <n v="-371.5949999999998"/>
        <n v="-370.81500000000005"/>
        <n v="-515.31800000000021"/>
        <n v="-790.89599999999973"/>
        <n v="-606.56550000000016"/>
        <n v="-137.07600000000002"/>
        <n v="-397.96150000000034"/>
        <n v="-11.893500000000003"/>
        <n v="-468.98999999999978"/>
        <n v="-289.90999999999985"/>
        <n v="-21.34050000000002"/>
        <n v="-265.56750000000011"/>
        <n v="-26.543999999999983"/>
        <n v="-21.312000000000012"/>
        <n v="-829.27199999999993"/>
        <n v="-294.76199999999972"/>
        <n v="-416.61000000000013"/>
        <n v="-14.022000000000006"/>
        <n v="-948.79999999999927"/>
        <n v="-170.20800000000008"/>
        <n v="-444.58400000000074"/>
        <n v="-71.392499999999984"/>
        <n v="-63.213000000000022"/>
        <n v="-275.37300000000005"/>
        <n v="-32.994"/>
        <n v="-211.32000000000016"/>
        <n v="-123.89649999999983"/>
        <n v="-1183.6080000000002"/>
        <n v="-349.04799999999977"/>
        <n v="-98.968499999999949"/>
        <n v="-233.41499999999996"/>
        <n v="-328.53600000000006"/>
        <n v="-71.131500000000017"/>
        <n v="-391.26600000000008"/>
        <n v="-37.548000000000002"/>
        <n v="-274.37800000000016"/>
        <n v="-63.559999999999945"/>
        <n v="-216.17499999999995"/>
        <n v="-560.5"/>
        <n v="-166.375"/>
        <n v="-61.437000000000012"/>
        <n v="-957.5679999999993"/>
        <n v="-147.15599999999995"/>
        <n v="-500.02500000000009"/>
        <n v="-303.10399999999981"/>
        <n v="-101.51999999999998"/>
        <n v="-72.120999999999981"/>
        <n v="-170.43299999999999"/>
        <n v="-353.41200000000003"/>
        <n v="-403.44300000000021"/>
        <n v="-992.59599999999955"/>
        <n v="-19.5"/>
        <n v="-1009.8959999999997"/>
        <n v="-903.71600000000035"/>
        <n v="-309.8420000000001"/>
        <n v="-399.04199999999992"/>
        <n v="-1.379999999999999"/>
        <n v="-713.25"/>
        <n v="-127.26000000000022"/>
        <n v="-157.62899999999991"/>
        <n v="-191.50499999999988"/>
        <n v="-435.03000000000065"/>
        <n v="-111.17200000000003"/>
        <n v="-152.03999999999996"/>
        <n v="-297.23599999999988"/>
        <n v="-164.63699999999994"/>
        <n v="-17.355999999999995"/>
        <n v="-122.3425000000002"/>
        <n v="-21.153999999999996"/>
        <n v="-962.78700000000026"/>
        <n v="-378.94500000000016"/>
        <n v="-26.105999999999995"/>
        <n v="-3.695999999999998"/>
        <n v="-55.875999999999976"/>
        <n v="-187.01999999999998"/>
        <n v="-383.90999999999985"/>
        <n v="-27.727999999999952"/>
        <n v="-418.60799999999972"/>
        <n v="-13.920000000000016"/>
        <n v="-107.42550000000006"/>
        <n v="-401.91449999999986"/>
        <n v="-339.0659999999998"/>
        <n v="-613.01099999999997"/>
        <n v="-62.636999999999944"/>
        <n v="-972.38249999999971"/>
        <n v="-691.30100000000039"/>
        <n v="-287.94350000000031"/>
        <n v="-59.413499999999999"/>
        <n v="-117.4380000000001"/>
        <n v="-309.17999999999984"/>
        <n v="-921.52499999999964"/>
        <n v="-105.20399999999995"/>
        <n v="-274.03500000000008"/>
        <n v="-595.99499999999989"/>
        <n v="-409.7170000000001"/>
        <n v="-273.23199999999997"/>
        <n v="-1.2299999999999995"/>
        <n v="-510.93599999999969"/>
        <n v="-242.2800000000002"/>
        <n v="-6.2479999999999976"/>
        <n v="-545.60399999999981"/>
        <n v="-183.90000000000009"/>
        <n v="-416.59349999999995"/>
        <n v="-289.72800000000007"/>
        <n v="-833.54600000000028"/>
        <n v="-157.76999999999998"/>
        <n v="-335.56950000000006"/>
        <n v="-1140.3225000000002"/>
        <n v="-457.36800000000039"/>
        <n v="-1151.0100000000002"/>
        <n v="-49.835000000000036"/>
        <n v="-366.4340000000002"/>
        <n v="-16.311000000000007"/>
        <n v="-424.5659999999998"/>
        <n v="-918.58349999999973"/>
        <n v="-150.61799999999994"/>
        <n v="-716.86800000000039"/>
        <n v="-233.92000000000007"/>
        <n v="-1274.1000000000004"/>
        <n v="-286.75199999999995"/>
        <n v="-1105.0320000000002"/>
        <n v="-83.592499999999973"/>
        <n v="-269.87400000000002"/>
        <n v="-490.32499999999982"/>
        <n v="-261.46800000000007"/>
        <n v="-52.831000000000017"/>
        <n v="-116.59049999999979"/>
        <n v="-593.60000000000036"/>
        <n v="-179.82600000000002"/>
        <n v="-1148.1599999999999"/>
        <n v="-285.29399999999987"/>
        <n v="-121.78199999999993"/>
        <n v="-356.39999999999964"/>
        <n v="-44.20799999999997"/>
        <n v="-105.52099999999996"/>
        <n v="-26.819000000000017"/>
        <n v="-1103.2574999999997"/>
        <n v="-172.25600000000009"/>
        <n v="-727.26400000000012"/>
        <n v="-228.01900000000023"/>
        <n v="-317.61900000000014"/>
        <n v="-126.46000000000004"/>
        <n v="-367.23999999999978"/>
        <n v="-3.9990000000000023"/>
        <n v="-186.87899999999991"/>
        <n v="-137.625"/>
        <n v="-20.490000000000009"/>
        <n v="-88.937999999999988"/>
        <n v="-816.79950000000008"/>
        <n v="-74.160000000000082"/>
        <n v="-197.07749999999987"/>
        <n v="-111.23400000000004"/>
        <n v="-132.048"/>
        <n v="-191.81999999999994"/>
        <n v="-118.0920000000001"/>
        <n v="-81.98399999999998"/>
        <n v="-57.48599999999999"/>
        <n v="-913.38749999999982"/>
        <n v="-1019.7915000000003"/>
        <n v="-442.42500000000018"/>
        <n v="-329.52599999999984"/>
        <n v="-1204.4414999999999"/>
        <n v="-231.05999999999995"/>
        <n v="-900.79200000000037"/>
        <n v="-164.49300000000005"/>
        <n v="-202.59750000000008"/>
        <n v="-144.04499999999996"/>
        <n v="-746.58600000000024"/>
        <n v="-68.279999999999973"/>
        <n v="-102.09749999999997"/>
        <n v="-244.56500000000005"/>
        <n v="-124.43399999999997"/>
        <n v="-292.54200000000037"/>
        <n v="-427.30000000000018"/>
        <n v="-1413.4079999999994"/>
        <n v="-257.67000000000007"/>
        <n v="-71.399999999999977"/>
        <n v="-112.79250000000002"/>
        <n v="-286.11149999999998"/>
        <n v="-21.552999999999997"/>
        <n v="-84.240000000000009"/>
        <n v="-464.88000000000011"/>
        <n v="-263.52549999999974"/>
        <n v="-399.10649999999987"/>
        <n v="-260.41600000000017"/>
        <n v="-329.99399999999991"/>
        <n v="-50.129999999999995"/>
        <n v="-225.57600000000002"/>
        <n v="-167.59799999999996"/>
        <n v="-822.6225000000004"/>
        <n v="-1061.9099999999999"/>
        <n v="-596.08500000000004"/>
        <n v="-28.889499999999998"/>
        <n v="-553.1850000000004"/>
        <n v="-33.635999999999996"/>
        <n v="-942.22500000000036"/>
        <n v="-184.60349999999994"/>
        <n v="-396.04050000000007"/>
        <n v="-318.97949999999992"/>
        <n v="-71.967999999999961"/>
        <n v="-80.794000000000096"/>
        <n v="-34.384000000000015"/>
        <n v="-18.698000000000008"/>
        <n v="-79.359500000000025"/>
        <n v="-102.73500000000013"/>
        <n v="-165.1579999999999"/>
        <n v="-223.92450000000008"/>
        <n v="-66.324000000000012"/>
        <n v="-22.057500000000005"/>
        <n v="-377.36999999999989"/>
        <n v="-147.75149999999996"/>
        <n v="-153.92000000000007"/>
        <n v="-993.98999999999978"/>
        <n v="-13.962000000000003"/>
        <n v="-220.46500000000015"/>
        <n v="-267.53300000000036"/>
        <n v="-162.74299999999994"/>
        <n v="-38.275499999999994"/>
        <n v="-16.1755"/>
        <n v="-24.309500000000014"/>
        <n v="-80.000999999999976"/>
        <n v="-90.240000000000009"/>
        <n v="-43.796500000000037"/>
        <n v="-86.307500000000118"/>
        <n v="-29.691000000000031"/>
        <n v="-1.2379999999999995"/>
        <n v="-559.8449999999998"/>
        <n v="-40.845000000000027"/>
        <n v="-272.32999999999993"/>
        <n v="-674.27999999999975"/>
        <n v="-940.40999999999985"/>
        <n v="-62.767499999999984"/>
        <n v="-336.59999999999991"/>
        <n v="-59.439999999999941"/>
        <n v="-466.53600000000006"/>
        <n v="-120.99199999999996"/>
        <n v="-365.05299999999988"/>
        <n v="-259.82999999999993"/>
        <n v="-1073.268"/>
        <n v="-381.59599999999955"/>
        <n v="-333.07200000000012"/>
        <n v="-269.68499999999995"/>
        <n v="-203.57999999999993"/>
        <n v="-163.52550000000019"/>
        <n v="-960.78600000000006"/>
        <n v="-230.43600000000015"/>
        <n v="-135.5619999999999"/>
        <n v="-81.249000000000024"/>
        <n v="-834.83399999999983"/>
        <n v="-37.475999999999999"/>
        <n v="-336.05600000000004"/>
        <n v="-74.727000000000089"/>
        <n v="-800.10000000000036"/>
        <n v="-6.5434999999999945"/>
        <n v="-219.58200000000011"/>
        <n v="-583.28399999999965"/>
        <n v="-176.36400000000003"/>
        <n v="-418.93000000000029"/>
        <n v="-209.95000000000005"/>
        <n v="-226.904"/>
        <n v="-12.852000000000004"/>
        <n v="-427.8420000000001"/>
        <n v="-32.630499999999984"/>
        <n v="-117.83249999999998"/>
        <n v="-62.51400000000001"/>
        <n v="-197.23599999999988"/>
        <n v="-27.095000000000027"/>
        <n v="-333.39899999999989"/>
        <n v="-33.995499999999993"/>
        <n v="-284.11999999999989"/>
        <n v="-131.82400000000007"/>
        <n v="-254.65599999999995"/>
        <n v="-602.76150000000007"/>
        <n v="-414.11200000000008"/>
        <n v="-122.70600000000013"/>
        <n v="-34.782000000000039"/>
        <n v="-57.181499999999971"/>
        <n v="-28.672499999999985"/>
        <n v="-219.20799999999963"/>
        <n v="-436.77000000000044"/>
        <n v="-787.18900000000031"/>
        <n v="-20.288000000000011"/>
        <n v="-212.3130000000001"/>
        <n v="-155.54999999999995"/>
        <n v="-73.506000000000085"/>
        <n v="-366.51449999999977"/>
        <n v="-829.51500000000033"/>
        <n v="-569.64000000000033"/>
        <n v="-1414.4489999999996"/>
        <n v="-69.63900000000001"/>
        <n v="-304.84400000000005"/>
        <n v="-59.452499999999986"/>
        <n v="-184.41599999999994"/>
        <n v="-149.67000000000007"/>
        <n v="-311.30999999999995"/>
        <n v="-769.59000000000015"/>
        <n v="-222.6840000000002"/>
        <n v="-131.60699999999997"/>
        <n v="-273.76499999999987"/>
        <n v="-334.08899999999994"/>
        <n v="-312.82200000000012"/>
        <n v="-119.44349999999986"/>
        <n v="-348.33600000000024"/>
        <n v="-31.831999999999994"/>
        <n v="-186.11999999999989"/>
        <n v="-1149.4560000000001"/>
        <n v="-356.0600000000004"/>
        <n v="-685.44900000000007"/>
        <n v="-33.533999999999992"/>
        <n v="-58.854000000000042"/>
        <n v="-47.92349999999999"/>
        <n v="-170.77199999999993"/>
        <n v="-29.088000000000022"/>
        <n v="-791.52000000000044"/>
        <n v="-237.47299999999996"/>
        <n v="-684.28799999999956"/>
        <n v="-422.59500000000025"/>
        <n v="-723.55799999999999"/>
        <n v="-266.92200000000003"/>
        <n v="-206.77649999999994"/>
        <n v="-17.289999999999992"/>
        <n v="-197.19900000000007"/>
        <n v="-42.454999999999984"/>
        <n v="-225.47700000000009"/>
        <n v="-46.391999999999996"/>
        <n v="-544.6574999999998"/>
        <n v="-4.8020000000000067"/>
        <n v="-53.427999999999997"/>
        <n v="-44.167500000000018"/>
        <n v="-37.110000000000014"/>
        <n v="-161.00399999999991"/>
        <n v="-105.80600000000004"/>
        <n v="-10.731999999999999"/>
        <n v="-25.048000000000002"/>
        <n v="-467.3130000000001"/>
        <n v="-8.7764999999999986"/>
        <n v="-856.93599999999969"/>
        <n v="-26.73599999999999"/>
        <n v="-86.430499999999938"/>
        <n v="-666.79200000000037"/>
        <n v="-235.90400000000045"/>
        <n v="-1698.6854999999996"/>
        <n v="-200.47499999999991"/>
        <n v="-130.78099999999995"/>
        <n v="-373.44300000000021"/>
        <n v="-312.3720000000003"/>
        <n v="-556.48500000000013"/>
        <n v="-109.74400000000003"/>
        <n v="-964.82099999999991"/>
        <n v="-32.958000000000027"/>
        <n v="-70.944500000000062"/>
        <n v="-302.13149999999996"/>
        <n v="-152.87249999999995"/>
        <n v="-387.85599999999977"/>
        <n v="-17.490000000000009"/>
        <n v="-4.1920000000000073"/>
        <n v="-119.06100000000015"/>
        <n v="-379.33500000000004"/>
        <n v="-47.389499999999998"/>
        <n v="-320.43299999999999"/>
        <n v="-125.18399999999997"/>
        <n v="-248.61200000000008"/>
        <n v="-607.33350000000019"/>
        <n v="-450.71000000000004"/>
        <n v="-82.672000000000025"/>
        <n v="-1610.130000000001"/>
        <n v="-51.605000000000018"/>
        <n v="-154.09799999999996"/>
        <n v="-262.52099999999996"/>
        <n v="-665.6909999999998"/>
        <n v="-761.03549999999996"/>
        <n v="-13.39500000000001"/>
        <n v="-226.80550000000039"/>
        <n v="-248.10999999999967"/>
        <n v="-79.190000000000055"/>
        <n v="-33.923999999999978"/>
        <n v="-100.83299999999997"/>
        <n v="-79.224000000000046"/>
        <n v="-103.16999999999996"/>
        <n v="-189.51600000000008"/>
        <n v="-38.057999999999993"/>
        <n v="-180.03749999999991"/>
        <n v="-11.289000000000001"/>
        <n v="-511.02999999999975"/>
        <n v="-125.78999999999996"/>
        <n v="-260.08199999999988"/>
        <n v="-116.54599999999982"/>
        <n v="-791.63000000000011"/>
        <n v="-144.13499999999999"/>
        <n v="-122.96199999999999"/>
        <n v="-65.695500000000038"/>
        <n v="-740.86200000000008"/>
        <n v="-134.63000000000011"/>
        <n v="-281.54500000000007"/>
        <n v="-203.154"/>
        <n v="-397.90000000000009"/>
        <n v="-952.21500000000015"/>
        <n v="-50.100000000000023"/>
        <n v="-1580.3250000000007"/>
        <n v="-386.85999999999967"/>
        <n v="-412.98750000000018"/>
        <n v="-94.781999999999925"/>
        <n v="-336.64499999999998"/>
        <n v="-269.01600000000008"/>
        <n v="-98.307000000000016"/>
        <n v="-172.9079999999999"/>
        <n v="-149.98799999999994"/>
        <n v="-408.05099999999993"/>
        <n v="-234.18000000000006"/>
        <n v="-29.162000000000035"/>
        <n v="-112.61200000000008"/>
        <n v="-499.88250000000016"/>
        <n v="-136.4670000000001"/>
        <n v="-594.64800000000014"/>
        <n v="-398.86250000000018"/>
        <n v="-1327.7520000000004"/>
        <n v="-442.00649999999951"/>
        <n v="-330.75699999999961"/>
        <n v="-285.03999999999996"/>
        <n v="-1.5710000000000015"/>
        <n v="-1459.3395"/>
        <n v="-600.48000000000047"/>
        <n v="-122.67449999999997"/>
        <n v="-264.86549999999988"/>
        <n v="-137.95200000000023"/>
        <n v="-497.17349999999988"/>
        <n v="-489.17499999999927"/>
        <n v="-103.25249999999994"/>
        <n v="-101.02499999999998"/>
        <n v="-408.47400000000016"/>
        <n v="-8.1399999999999864"/>
        <n v="-443.34000000000015"/>
        <n v="-327.52800000000002"/>
        <n v="-14.4315"/>
        <n v="-89.842499999999973"/>
        <n v="-393.15149999999994"/>
        <n v="-223.24250000000029"/>
        <n v="-1089.9359999999997"/>
        <n v="-485.19800000000032"/>
        <n v="-56.663999999999987"/>
        <n v="-548.73999999999978"/>
        <n v="-19.730000000000018"/>
        <n v="-232.85999999999967"/>
        <n v="-117.93299999999999"/>
        <n v="-291.0600000000004"/>
        <n v="-271.11700000000019"/>
        <n v="-57.984000000000037"/>
        <n v="-77.635999999999967"/>
        <n v="-23.894999999999982"/>
        <n v="-121.34799999999996"/>
        <n v="-867.13600000000042"/>
        <n v="-522.57600000000002"/>
        <n v="-440.01000000000022"/>
        <n v="-368.24400000000014"/>
        <n v="-730.30500000000029"/>
        <n v="-216.48549999999977"/>
        <n v="-56.511999999999944"/>
        <n v="-443.89800000000014"/>
        <n v="-648.03300000000036"/>
        <n v="-324.55000000000018"/>
        <n v="-481.71200000000044"/>
        <n v="-497.55600000000004"/>
        <n v="-239.7360000000001"/>
        <n v="-49.819000000000017"/>
        <n v="-676.49399999999969"/>
        <n v="-1142.4659999999994"/>
        <n v="-264.13799999999992"/>
        <n v="-221.72400000000016"/>
        <n v="-184.79500000000007"/>
        <n v="-220.32999999999993"/>
        <n v="-45.480000000000018"/>
        <n v="-172.12100000000009"/>
        <n v="-29.575500000000034"/>
        <n v="-24.588000000000022"/>
        <n v="-253.99200000000019"/>
        <n v="-45.480500000000006"/>
        <n v="-306.83100000000013"/>
        <n v="-169.26700000000005"/>
        <n v="-209.98800000000006"/>
        <n v="-212.77799999999979"/>
        <n v="-1114.3310000000001"/>
        <n v="-1041.4125000000004"/>
        <n v="-8.8085000000000093"/>
        <n v="-7.1239999999999952"/>
        <n v="-398.92300000000023"/>
        <n v="-8.5149999999999864"/>
        <n v="-854.42000000000007"/>
        <n v="-26.915999999999997"/>
        <n v="-726.35400000000027"/>
        <n v="-103.14599999999996"/>
        <n v="-455.49799999999959"/>
        <n v="-148.87800000000016"/>
        <n v="-687.61800000000039"/>
        <n v="-226.28700000000003"/>
        <n v="-244.96799999999985"/>
        <n v="-8.2289999999999992"/>
        <n v="-353.89199999999983"/>
        <n v="-93.159999999999968"/>
        <n v="-341.05500000000006"/>
        <n v="-335.30400000000009"/>
        <n v="-356.0920000000001"/>
        <n v="-85.519500000000107"/>
        <n v="-723.11999999999989"/>
        <n v="-474.66100000000006"/>
        <n v="-358.02199999999993"/>
        <n v="-158.13"/>
        <n v="-189.62400000000002"/>
        <n v="-107.23599999999999"/>
        <n v="-1371.0239999999994"/>
        <n v="-161.30400000000009"/>
        <n v="-901.84050000000025"/>
        <n v="-164.19599999999991"/>
        <n v="-386.68350000000009"/>
        <n v="-508.125"/>
        <n v="-507.41600000000017"/>
        <n v="-8.2060000000000031"/>
        <n v="-523.38299999999981"/>
        <n v="-50.682000000000016"/>
        <n v="-230.51200000000017"/>
        <n v="-331.7985000000001"/>
        <n v="-643.99499999999989"/>
        <n v="-915.93299999999908"/>
        <n v="-75.450000000000045"/>
        <n v="-98.844000000000051"/>
        <n v="-84.615000000000009"/>
        <n v="-338.03999999999996"/>
        <n v="-84.194999999999993"/>
        <n v="-187.173"/>
        <n v="-1658.4899999999998"/>
        <n v="-12.943000000000012"/>
        <n v="-851.59900000000016"/>
        <n v="-352.38400000000001"/>
        <n v="-187.36500000000001"/>
        <n v="-351.90000000000009"/>
        <n v="-122.48999999999978"/>
        <n v="-40.920000000000016"/>
        <n v="-367.43000000000029"/>
        <n v="-115.16000000000008"/>
        <n v="-115.36799999999994"/>
        <n v="-27.13149999999996"/>
        <n v="-20.454000000000008"/>
        <n v="-629.36999999999989"/>
        <n v="-92.274000000000001"/>
        <n v="-135.4079999999999"/>
        <n v="-48.559999999999945"/>
        <n v="-4.9185000000000016"/>
        <n v="-39.440999999999974"/>
        <n v="-481.8420000000001"/>
        <n v="-387.42900000000009"/>
        <n v="-96.663999999999987"/>
        <n v="-27.670999999999992"/>
        <n v="-22.408000000000015"/>
        <n v="-210.14400000000023"/>
        <n v="-39.820500000000038"/>
        <n v="-139.09999999999991"/>
        <n v="-612.46500000000015"/>
        <n v="-535.27999999999975"/>
        <n v="-13.239000000000004"/>
        <n v="-65.663000000000011"/>
        <n v="-130.89449999999988"/>
        <n v="-307.44000000000005"/>
        <n v="-18.917500000000018"/>
        <n v="-306.88700000000017"/>
        <n v="-379.81999999999971"/>
        <n v="-71.645999999999958"/>
        <n v="-531.50399999999991"/>
        <n v="-204.57000000000016"/>
        <n v="-162.16199999999981"/>
        <n v="-309.47700000000009"/>
        <n v="-442.17599999999993"/>
        <n v="-786.29399999999987"/>
        <n v="-32.756999999999948"/>
        <n v="-150.22800000000007"/>
        <n v="-420.53200000000015"/>
        <n v="-345.78899999999999"/>
        <n v="-830.34000000000015"/>
        <n v="-9.6539999999999964"/>
        <n v="-46.945500000000038"/>
        <n v="-64.241999999999962"/>
        <n v="-23.920000000000016"/>
        <n v="-126.36000000000001"/>
        <n v="-206.80200000000013"/>
        <n v="-880.45200000000023"/>
        <n v="-230.60699999999997"/>
        <n v="-805.92399999999998"/>
        <n v="-158.86800000000005"/>
        <n v="-145.69799999999987"/>
        <n v="-113.28800000000001"/>
        <n v="-193.76099999999997"/>
        <n v="-447.49799999999959"/>
        <n v="-226.02449999999953"/>
        <n v="-111.36300000000006"/>
        <n v="-781.79399999999987"/>
        <n v="-682.64000000000033"/>
        <n v="-88.490999999999985"/>
        <n v="-235.61999999999989"/>
        <n v="-1457.9459999999999"/>
        <n v="-179.24400000000014"/>
        <n v="-308.42999999999984"/>
        <n v="-370.28800000000047"/>
        <n v="-93.490000000000009"/>
        <n v="-210.75"/>
        <n v="-728.51400000000012"/>
        <n v="-158.23500000000013"/>
        <n v="-129.452"/>
        <n v="-29.919999999999959"/>
        <n v="-41.898000000000025"/>
        <n v="-871.85599999999977"/>
        <n v="-522.73000000000047"/>
        <n v="-1209.6809999999996"/>
        <n v="-156.38250000000016"/>
        <n v="-550.73199999999997"/>
        <n v="-414.19500000000016"/>
        <n v="-18.211000000000013"/>
        <n v="-163.22600000000011"/>
        <n v="-210.80999999999995"/>
        <n v="-1173.7905000000001"/>
        <n v="-125.91600000000017"/>
        <n v="-28.215000000000003"/>
        <n v="-86.316000000000031"/>
        <n v="-321.72699999999986"/>
        <n v="-396.73"/>
        <n v="-29.966000000000008"/>
        <n v="-500.29299999999967"/>
        <n v="-223.46500000000015"/>
        <n v="-101.06000000000006"/>
        <n v="-200.74199999999996"/>
        <n v="-1168.1040000000003"/>
        <n v="-56.487000000000023"/>
        <n v="-117.32400000000007"/>
        <n v="-214.96199999999999"/>
        <n v="-640.45800000000054"/>
        <n v="-131.27700000000004"/>
        <n v="-224.37100000000009"/>
        <n v="-141.42749999999978"/>
        <n v="-63.940499999999986"/>
        <n v="-864.18000000000029"/>
        <n v="-130.90949999999998"/>
        <n v="-556.00199999999995"/>
        <n v="-15.333000000000027"/>
        <n v="-252.89600000000019"/>
        <n v="-99.820500000000038"/>
        <n v="-72.908500000000004"/>
        <n v="-32.192000000000007"/>
        <n v="-112.13099999999997"/>
        <n v="-401.40000000000009"/>
        <n v="-243.11699999999996"/>
        <n v="-642.49200000000019"/>
        <n v="-124.30799999999999"/>
        <n v="-158.6880000000001"/>
        <n v="-56.220000000000027"/>
        <n v="-104.89949999999999"/>
        <n v="-169.524"/>
        <n v="-857.87100000000009"/>
        <n v="-53.812000000000012"/>
        <n v="-491.54700000000003"/>
        <n v="-476.69000000000051"/>
        <n v="-48.218999999999994"/>
        <n v="-309.12300000000005"/>
        <n v="-64.723500000000001"/>
        <n v="-59.720000000000027"/>
        <n v="-323.94599999999991"/>
        <n v="-209.62699999999995"/>
        <n v="-113.6550000000002"/>
        <n v="-385.15200000000004"/>
        <n v="-406.73700000000008"/>
        <n v="-94.664500000000089"/>
        <n v="-36.048999999999978"/>
        <n v="-1313.5560000000005"/>
        <n v="-84.798000000000002"/>
        <n v="-58.417500000000018"/>
        <n v="-7.1699999999999875"/>
        <n v="-46.935000000000002"/>
        <n v="-336.72749999999996"/>
        <n v="-274.72800000000007"/>
        <n v="-48.883500000000026"/>
        <n v="-52.579999999999984"/>
        <n v="-163.35599999999999"/>
        <n v="-187.45499999999993"/>
        <n v="-102.87899999999991"/>
        <n v="-848.73000000000047"/>
        <n v="-330.53099999999995"/>
        <n v="-48.705000000000041"/>
        <n v="-234.75200000000041"/>
        <n v="-306.10799999999995"/>
        <n v="-724.6260000000002"/>
        <n v="-984.69000000000051"/>
        <n v="-53.131500000000017"/>
        <n v="-225.83699999999953"/>
        <n v="-1585.5750000000007"/>
        <n v="-12.810000000000002"/>
        <n v="-110.50049999999999"/>
        <n v="-427.5"/>
        <n v="-793.51649999999972"/>
        <n v="-117.78600000000006"/>
        <n v="-172.02399999999989"/>
        <n v="-601.60800000000017"/>
        <n v="-126.59099999999989"/>
        <n v="-169.26750000000004"/>
        <n v="-483.16499999999996"/>
        <n v="-41.860000000000014"/>
        <n v="-521.85599999999977"/>
        <n v="-319.72749999999996"/>
        <n v="-379.6274999999996"/>
        <n v="-10.106999999999999"/>
        <n v="-617.17500000000018"/>
        <n v="-590.73"/>
        <n v="-5.0190000000000055"/>
        <n v="-38.192000000000007"/>
        <n v="-268.49349999999959"/>
        <n v="-134.19500000000016"/>
        <n v="-32.089999999999975"/>
        <n v="-349.91250000000036"/>
        <n v="-202.13599999999997"/>
        <n v="-60.450000000000045"/>
        <n v="-141.08800000000019"/>
        <n v="-1402.4340000000002"/>
        <n v="-97.614000000000033"/>
        <n v="-273.44200000000001"/>
        <n v="-15.070499999999996"/>
        <n v="-164.85000000000002"/>
        <n v="-605.94599999999991"/>
        <n v="-129.48749999999995"/>
        <n v="-67.38"/>
        <n v="-26.730500000000006"/>
        <n v="-252.01800000000003"/>
        <n v="-220.25600000000009"/>
        <n v="-15.859500000000025"/>
        <n v="-853.21500000000015"/>
        <n v="-380.7800000000002"/>
        <n v="-411.72050000000036"/>
        <n v="-13.908000000000001"/>
        <n v="-26.328000000000003"/>
        <n v="-1206.0720000000001"/>
        <n v="-819.79299999999967"/>
        <n v="-42.355500000000006"/>
        <n v="-89.953500000000076"/>
        <n v="-361.26"/>
        <n v="-589.16249999999991"/>
        <n v="-109.76350000000002"/>
        <n v="-126.23999999999978"/>
        <n v="-11.336000000000013"/>
        <n v="-841.72099999999955"/>
        <n v="-99.434999999999945"/>
        <n v="-355.34099999999989"/>
        <n v="-815.53600000000006"/>
        <n v="-416.58399999999983"/>
        <n v="-237.32150000000001"/>
        <n v="-28.302000000000021"/>
        <n v="-656.88299999999981"/>
        <n v="-1041.9480000000003"/>
        <n v="-312.42399999999998"/>
        <n v="-385.47600000000011"/>
        <n v="-8.2920000000000016"/>
        <n v="-342.05699999999979"/>
        <n v="-374.64000000000033"/>
        <n v="-48.840000000000032"/>
        <n v="-414.93600000000015"/>
        <n v="-39.031999999999982"/>
        <n v="-14.74799999999999"/>
        <n v="-469.01299999999992"/>
        <n v="-117.51299999999992"/>
        <n v="-200.39400000000023"/>
        <n v="-243.13249999999971"/>
        <n v="-364.41899999999987"/>
        <n v="-733.81949999999961"/>
        <n v="-240.99200000000019"/>
        <n v="-603.23999999999978"/>
        <n v="-77.714999999999918"/>
        <n v="-208.84950000000003"/>
        <n v="-132.60899999999992"/>
        <n v="-29.018500000000017"/>
        <n v="-912.91200000000026"/>
        <n v="-1.6980000000000004"/>
        <n v="-18.918000000000006"/>
        <n v="-137.28400000000011"/>
        <n v="-297.2639999999999"/>
        <n v="-72.240000000000009"/>
        <n v="-847.63799999999992"/>
        <n v="-881.81999999999971"/>
        <n v="-40.887500000000045"/>
        <n v="-199.30799999999999"/>
        <n v="-974.3159999999998"/>
        <n v="-102.40499999999997"/>
        <n v="-10.804000000000002"/>
        <n v="-70.919999999999959"/>
        <n v="-419.23199999999997"/>
        <n v="-61.211999999999989"/>
        <n v="-126.17499999999995"/>
        <n v="-193.9079999999999"/>
        <n v="-231.94499999999994"/>
        <n v="-36.427000000000021"/>
        <n v="-1060.2000000000007"/>
        <n v="-399.11999999999989"/>
        <n v="-440.31999999999971"/>
        <n v="-264.86849999999959"/>
        <n v="-132.35399999999993"/>
        <n v="-573.31999999999971"/>
        <n v="-314.35949999999957"/>
        <n v="-121.65999999999985"/>
        <n v="-452.21000000000004"/>
        <n v="-99.26400000000001"/>
        <n v="-72.126999999999953"/>
        <n v="-84.674999999999955"/>
        <n v="-153.19799999999987"/>
        <n v="-6.0100000000000051"/>
        <n v="-330.31050000000005"/>
        <n v="-85.3599999999999"/>
        <n v="-437.08950000000004"/>
        <n v="-34.44"/>
        <n v="-614.22299999999996"/>
        <n v="-201.16249999999991"/>
        <n v="-37.408000000000015"/>
        <n v="-50.19599999999997"/>
        <n v="-473.03200000000015"/>
        <n v="-332.81099999999969"/>
        <n v="-249.36000000000013"/>
        <n v="-469.36799999999994"/>
        <n v="-174.31500000000005"/>
        <n v="-64.604000000000042"/>
        <n v="-989.7524999999996"/>
        <n v="-386.47199999999975"/>
        <n v="-53.410500000000013"/>
        <n v="-389.26800000000003"/>
        <n v="-162.41849999999999"/>
        <n v="-207.28999999999996"/>
        <n v="-611.98500000000013"/>
        <n v="-71.572499999999991"/>
        <n v="-332.61400000000049"/>
        <n v="-148.11749999999984"/>
        <n v="-28.853500000000054"/>
        <n v="-326.59799999999996"/>
        <n v="-894.91499999999996"/>
        <n v="-42.125999999999976"/>
        <n v="-222.00800000000004"/>
        <n v="-720.80549999999994"/>
        <n v="-168.94499999999994"/>
        <n v="-88.203500000000076"/>
        <n v="-41.910000000000025"/>
        <n v="-270.50399999999991"/>
        <n v="-471.77100000000019"/>
        <n v="-488.33600000000024"/>
        <n v="-193.96000000000004"/>
        <n v="-522.37800000000061"/>
        <n v="-164.78999999999996"/>
        <n v="-147.91399999999999"/>
        <n v="-428.94599999999991"/>
        <n v="-7.0805000000000007"/>
        <n v="-104.05799999999999"/>
        <n v="-312.56399999999985"/>
        <n v="-107.07400000000007"/>
        <n v="-465.17900000000009"/>
        <n v="-111.4340000000002"/>
        <n v="-394.68000000000029"/>
        <n v="-84.738499999999931"/>
        <n v="-405.77300000000014"/>
        <n v="-39.240000000000009"/>
        <n v="-124.86000000000013"/>
        <n v="-133.34400000000005"/>
        <n v="-243.47000000000025"/>
        <n v="-204.14900000000011"/>
        <n v="-191.0590000000002"/>
        <n v="-238.52250000000004"/>
        <n v="-545.28749999999991"/>
        <n v="-36.940500000000014"/>
        <n v="-428.59500000000025"/>
        <n v="-580.58399999999983"/>
        <n v="-302.96000000000004"/>
        <n v="-556.22400000000016"/>
        <n v="-64.543499999999995"/>
        <n v="-435.70800000000008"/>
        <n v="-301.44400000000041"/>
        <n v="-700.8149999999996"/>
        <n v="-74.303999999999974"/>
        <n v="-31.908000000000015"/>
        <n v="-87.716000000000122"/>
        <n v="-889.54"/>
        <n v="-318.15000000000009"/>
        <n v="-687.74400000000014"/>
        <n v="-283.404"/>
        <n v="-111.89600000000019"/>
        <n v="-45.691500000000019"/>
        <n v="-773.39199999999983"/>
        <n v="-47.859000000000037"/>
        <n v="-533.14000000000033"/>
        <n v="-38.998000000000047"/>
        <n v="-1237.5150000000003"/>
        <n v="-290.77099999999973"/>
        <n v="-255.84000000000015"/>
        <n v="-145.74299999999994"/>
        <n v="-146.89600000000019"/>
        <n v="-37.307000000000016"/>
        <n v="-87.463999999999942"/>
        <n v="-566.32499999999982"/>
        <n v="-183.86900000000014"/>
      </sharedItems>
    </cacheField>
    <cacheField name="Is Returned" numFmtId="0">
      <sharedItems containsSemiMixedTypes="0" containsString="0" containsNumber="1" containsInteger="1" minValue="0" maxValue="0"/>
    </cacheField>
    <cacheField name="Months (OrderDate)" numFmtId="0" databaseField="0">
      <fieldGroup base="16">
        <rangePr groupBy="months" startDate="2023-01-01T00:00:00" endDate="2025-07-01T00:00:00"/>
        <groupItems count="14">
          <s v="&lt;1/1/2023"/>
          <s v="Jan"/>
          <s v="Feb"/>
          <s v="Mar"/>
          <s v="Apr"/>
          <s v="May"/>
          <s v="Jun"/>
          <s v="Jul"/>
          <s v="Aug"/>
          <s v="Sep"/>
          <s v="Oct"/>
          <s v="Nov"/>
          <s v="Dec"/>
          <s v="&gt;7/1/2025"/>
        </groupItems>
      </fieldGroup>
    </cacheField>
    <cacheField name="Quarters (OrderDate)" numFmtId="0" databaseField="0">
      <fieldGroup base="16">
        <rangePr groupBy="quarters" startDate="2023-01-01T00:00:00" endDate="2025-07-01T00:00:00"/>
        <groupItems count="6">
          <s v="&lt;1/1/2023"/>
          <s v="Qtr1"/>
          <s v="Qtr2"/>
          <s v="Qtr3"/>
          <s v="Qtr4"/>
          <s v="&gt;7/1/2025"/>
        </groupItems>
      </fieldGroup>
    </cacheField>
    <cacheField name="Years (OrderDate)" numFmtId="0" databaseField="0">
      <fieldGroup base="16">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602421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x v="0"/>
    <n v="163.6"/>
    <s v="Store B"/>
    <x v="0"/>
    <n v="0"/>
    <x v="0"/>
    <n v="2290.4"/>
    <x v="0"/>
    <s v="FREESHIP"/>
    <n v="0"/>
    <s v="REG100000"/>
    <x v="0"/>
    <n v="43.34"/>
    <x v="0"/>
    <d v="2023-02-27T00:00:00"/>
    <x v="0"/>
    <n v="2290.4"/>
    <n v="0"/>
    <n v="2290.4"/>
    <n v="4"/>
    <x v="0"/>
    <n v="0"/>
  </r>
  <r>
    <d v="2024-12-19T00:00:00"/>
    <x v="1"/>
    <x v="1"/>
    <x v="1"/>
    <n v="544.01"/>
    <s v="Store A"/>
    <x v="1"/>
    <n v="0"/>
    <x v="1"/>
    <n v="544.01"/>
    <x v="1"/>
    <s v="SAVE10"/>
    <n v="0"/>
    <s v="REG100001"/>
    <x v="1"/>
    <n v="5.3"/>
    <x v="1"/>
    <d v="2024-12-28T00:00:00"/>
    <x v="1"/>
    <n v="544.01"/>
    <n v="0"/>
    <n v="544.01"/>
    <n v="9"/>
    <x v="0"/>
    <n v="0"/>
  </r>
  <r>
    <d v="2023-05-10T00:00:00"/>
    <x v="2"/>
    <x v="2"/>
    <x v="0"/>
    <n v="346.18"/>
    <s v="Store B"/>
    <x v="0"/>
    <n v="0.1"/>
    <x v="1"/>
    <n v="4361.8680000000004"/>
    <x v="0"/>
    <s v="WINTER15"/>
    <n v="0"/>
    <s v="REG100002"/>
    <x v="2"/>
    <n v="20.46"/>
    <x v="2"/>
    <d v="2023-05-19T00:00:00"/>
    <x v="2"/>
    <n v="4846.5200000000004"/>
    <n v="484.65200000000004"/>
    <n v="4361.8680000000004"/>
    <n v="9"/>
    <x v="1"/>
    <n v="0"/>
  </r>
  <r>
    <d v="2025-02-26T00:00:00"/>
    <x v="3"/>
    <x v="3"/>
    <x v="2"/>
    <n v="384.82"/>
    <s v="Store A"/>
    <x v="0"/>
    <n v="0.15"/>
    <x v="2"/>
    <n v="5887.7460000000001"/>
    <x v="1"/>
    <s v="FREESHIP"/>
    <n v="0"/>
    <s v="REG100003"/>
    <x v="3"/>
    <n v="27.95"/>
    <x v="3"/>
    <d v="2025-03-02T00:00:00"/>
    <x v="3"/>
    <n v="6926.76"/>
    <n v="1039.0139999999999"/>
    <n v="5887.7460000000001"/>
    <n v="4"/>
    <x v="2"/>
    <n v="0"/>
  </r>
  <r>
    <d v="2023-06-24T00:00:00"/>
    <x v="0"/>
    <x v="2"/>
    <x v="2"/>
    <n v="237.76"/>
    <s v="Store C"/>
    <x v="1"/>
    <n v="0"/>
    <x v="3"/>
    <n v="4279.68"/>
    <x v="0"/>
    <s v="SAVE10"/>
    <n v="0"/>
    <s v="REG100004"/>
    <x v="4"/>
    <n v="5.73"/>
    <x v="4"/>
    <d v="2023-06-27T00:00:00"/>
    <x v="0"/>
    <n v="4279.68"/>
    <n v="0"/>
    <n v="4279.68"/>
    <n v="3"/>
    <x v="0"/>
    <n v="0"/>
  </r>
  <r>
    <d v="2024-02-20T00:00:00"/>
    <x v="3"/>
    <x v="4"/>
    <x v="3"/>
    <n v="385.09"/>
    <s v="Store D"/>
    <x v="0"/>
    <n v="0.15"/>
    <x v="4"/>
    <n v="654.65299999999991"/>
    <x v="2"/>
    <m/>
    <n v="0"/>
    <s v="REG100005"/>
    <x v="5"/>
    <n v="11.92"/>
    <x v="5"/>
    <d v="2024-03-01T00:00:00"/>
    <x v="3"/>
    <n v="770.18"/>
    <n v="115.52699999999999"/>
    <n v="654.65300000000002"/>
    <n v="10"/>
    <x v="3"/>
    <n v="0"/>
  </r>
  <r>
    <d v="2023-01-11T00:00:00"/>
    <x v="1"/>
    <x v="3"/>
    <x v="4"/>
    <n v="17.5"/>
    <s v="Store C"/>
    <x v="1"/>
    <n v="0.1"/>
    <x v="1"/>
    <n v="110.25"/>
    <x v="3"/>
    <s v="WINTER15"/>
    <n v="0"/>
    <s v="REG100006"/>
    <x v="6"/>
    <n v="5.0199999999999996"/>
    <x v="6"/>
    <d v="2023-01-14T00:00:00"/>
    <x v="1"/>
    <n v="122.5"/>
    <n v="12.25"/>
    <n v="110.25"/>
    <n v="3"/>
    <x v="4"/>
    <n v="0"/>
  </r>
  <r>
    <d v="2023-01-09T00:00:00"/>
    <x v="3"/>
    <x v="3"/>
    <x v="5"/>
    <n v="330.22"/>
    <s v="Store C"/>
    <x v="0"/>
    <n v="0.15"/>
    <x v="3"/>
    <n v="842.06100000000004"/>
    <x v="4"/>
    <m/>
    <n v="0"/>
    <s v="REG100007"/>
    <x v="7"/>
    <n v="48.01"/>
    <x v="7"/>
    <d v="2023-01-11T00:00:00"/>
    <x v="3"/>
    <n v="990.66000000000008"/>
    <n v="148.59900000000002"/>
    <n v="842.06100000000004"/>
    <n v="2"/>
    <x v="5"/>
    <n v="0"/>
  </r>
  <r>
    <d v="2024-10-16T00:00:00"/>
    <x v="1"/>
    <x v="3"/>
    <x v="5"/>
    <n v="432.04"/>
    <s v="Store D"/>
    <x v="0"/>
    <n v="0.05"/>
    <x v="5"/>
    <n v="1231.3140000000001"/>
    <x v="3"/>
    <s v="FREESHIP"/>
    <n v="1"/>
    <s v="REG100008"/>
    <x v="8"/>
    <n v="42.11"/>
    <x v="8"/>
    <d v="2024-10-18T00:00:00"/>
    <x v="1"/>
    <n v="1296.1200000000001"/>
    <n v="64.806000000000012"/>
    <n v="1231.3140000000001"/>
    <n v="2"/>
    <x v="6"/>
    <n v="0"/>
  </r>
  <r>
    <d v="2025-03-05T00:00:00"/>
    <x v="4"/>
    <x v="2"/>
    <x v="6"/>
    <n v="323.27999999999997"/>
    <s v="Store D"/>
    <x v="1"/>
    <n v="0.1"/>
    <x v="2"/>
    <n v="1454.76"/>
    <x v="1"/>
    <s v="SAVE10"/>
    <n v="0"/>
    <s v="REG100009"/>
    <x v="9"/>
    <n v="41.1"/>
    <x v="9"/>
    <d v="2025-03-13T00:00:00"/>
    <x v="4"/>
    <n v="1616.3999999999999"/>
    <n v="161.63999999999999"/>
    <n v="1454.7599999999998"/>
    <n v="8"/>
    <x v="7"/>
    <n v="0"/>
  </r>
  <r>
    <d v="2024-04-10T00:00:00"/>
    <x v="2"/>
    <x v="2"/>
    <x v="7"/>
    <n v="523.29"/>
    <s v="Store B"/>
    <x v="0"/>
    <n v="0.15"/>
    <x v="0"/>
    <n v="6671.9474999999993"/>
    <x v="3"/>
    <m/>
    <n v="0"/>
    <s v="REG100010"/>
    <x v="10"/>
    <n v="12.14"/>
    <x v="10"/>
    <d v="2024-04-17T00:00:00"/>
    <x v="2"/>
    <n v="7849.3499999999995"/>
    <n v="1177.4024999999999"/>
    <n v="6671.9474999999993"/>
    <n v="7"/>
    <x v="8"/>
    <n v="0"/>
  </r>
  <r>
    <d v="2024-07-12T00:00:00"/>
    <x v="0"/>
    <x v="1"/>
    <x v="8"/>
    <n v="207.35"/>
    <s v="Store D"/>
    <x v="1"/>
    <n v="0.1"/>
    <x v="0"/>
    <n v="3545.6849999999999"/>
    <x v="1"/>
    <m/>
    <n v="1"/>
    <s v="REG100011"/>
    <x v="11"/>
    <n v="44.89"/>
    <x v="11"/>
    <d v="2024-07-18T00:00:00"/>
    <x v="0"/>
    <n v="3939.65"/>
    <n v="393.96500000000003"/>
    <n v="3545.6849999999999"/>
    <n v="6"/>
    <x v="9"/>
    <n v="0"/>
  </r>
  <r>
    <d v="2023-07-21T00:00:00"/>
    <x v="3"/>
    <x v="1"/>
    <x v="1"/>
    <n v="120.53"/>
    <s v="Store B"/>
    <x v="1"/>
    <n v="0.05"/>
    <x v="4"/>
    <n v="114.5035"/>
    <x v="4"/>
    <s v="WINTER15"/>
    <n v="0"/>
    <s v="REG100012"/>
    <x v="12"/>
    <n v="20.350000000000001"/>
    <x v="12"/>
    <d v="2023-07-31T00:00:00"/>
    <x v="3"/>
    <n v="120.53"/>
    <n v="6.0265000000000004"/>
    <n v="114.5035"/>
    <n v="10"/>
    <x v="10"/>
    <n v="0"/>
  </r>
  <r>
    <d v="2025-01-18T00:00:00"/>
    <x v="4"/>
    <x v="5"/>
    <x v="1"/>
    <n v="157.83000000000001"/>
    <s v="Store A"/>
    <x v="0"/>
    <n v="0.15"/>
    <x v="3"/>
    <n v="134.15549999999999"/>
    <x v="3"/>
    <m/>
    <n v="0"/>
    <s v="REG100013"/>
    <x v="13"/>
    <n v="42.82"/>
    <x v="13"/>
    <d v="2025-01-22T00:00:00"/>
    <x v="4"/>
    <n v="157.83000000000001"/>
    <n v="23.674500000000002"/>
    <n v="134.15550000000002"/>
    <n v="4"/>
    <x v="11"/>
    <n v="0"/>
  </r>
  <r>
    <d v="2024-12-08T00:00:00"/>
    <x v="2"/>
    <x v="2"/>
    <x v="7"/>
    <n v="220.3"/>
    <s v="Store B"/>
    <x v="1"/>
    <n v="0.15"/>
    <x v="4"/>
    <n v="2808.8249999999998"/>
    <x v="3"/>
    <m/>
    <n v="0"/>
    <s v="REG100014"/>
    <x v="14"/>
    <n v="39.659999999999997"/>
    <x v="14"/>
    <d v="2024-12-15T00:00:00"/>
    <x v="2"/>
    <n v="3304.5"/>
    <n v="495.67499999999995"/>
    <n v="2808.8249999999998"/>
    <n v="7"/>
    <x v="12"/>
    <n v="0"/>
  </r>
  <r>
    <d v="2025-05-11T00:00:00"/>
    <x v="4"/>
    <x v="3"/>
    <x v="9"/>
    <n v="162.96"/>
    <s v="Store A"/>
    <x v="0"/>
    <n v="0.05"/>
    <x v="0"/>
    <n v="2631.8040000000001"/>
    <x v="1"/>
    <s v="FREESHIP"/>
    <n v="0"/>
    <s v="REG100015"/>
    <x v="15"/>
    <n v="8.11"/>
    <x v="15"/>
    <d v="2025-05-17T00:00:00"/>
    <x v="4"/>
    <n v="2770.32"/>
    <n v="138.51600000000002"/>
    <n v="2631.8040000000001"/>
    <n v="6"/>
    <x v="13"/>
    <n v="0"/>
  </r>
  <r>
    <d v="2023-02-26T00:00:00"/>
    <x v="4"/>
    <x v="0"/>
    <x v="8"/>
    <n v="236.11"/>
    <s v="Store D"/>
    <x v="0"/>
    <n v="0"/>
    <x v="5"/>
    <n v="4486.09"/>
    <x v="0"/>
    <s v="WINTER15"/>
    <n v="0"/>
    <s v="REG100016"/>
    <x v="16"/>
    <n v="34.11"/>
    <x v="16"/>
    <d v="2023-03-04T00:00:00"/>
    <x v="4"/>
    <n v="4486.09"/>
    <n v="0"/>
    <n v="4486.09"/>
    <n v="6"/>
    <x v="0"/>
    <n v="0"/>
  </r>
  <r>
    <d v="2024-05-28T00:00:00"/>
    <x v="3"/>
    <x v="2"/>
    <x v="10"/>
    <n v="573.14"/>
    <s v="Store D"/>
    <x v="1"/>
    <n v="0.05"/>
    <x v="4"/>
    <n v="5989.3130000000001"/>
    <x v="4"/>
    <s v="SAVE10"/>
    <n v="0"/>
    <s v="REG100017"/>
    <x v="17"/>
    <n v="34.71"/>
    <x v="17"/>
    <d v="2024-06-01T00:00:00"/>
    <x v="3"/>
    <n v="6304.54"/>
    <n v="315.22700000000003"/>
    <n v="5989.3130000000001"/>
    <n v="4"/>
    <x v="14"/>
    <n v="0"/>
  </r>
  <r>
    <d v="2023-11-30T00:00:00"/>
    <x v="0"/>
    <x v="1"/>
    <x v="11"/>
    <n v="519.04"/>
    <s v="Store B"/>
    <x v="1"/>
    <n v="0.15"/>
    <x v="3"/>
    <n v="8823.6799999999985"/>
    <x v="1"/>
    <s v="FREESHIP"/>
    <n v="0"/>
    <s v="REG100018"/>
    <x v="18"/>
    <n v="19.43"/>
    <x v="18"/>
    <d v="2023-12-08T00:00:00"/>
    <x v="0"/>
    <n v="10380.799999999999"/>
    <n v="1557.12"/>
    <n v="8823.68"/>
    <n v="8"/>
    <x v="15"/>
    <n v="0"/>
  </r>
  <r>
    <d v="2023-06-22T00:00:00"/>
    <x v="4"/>
    <x v="2"/>
    <x v="0"/>
    <n v="30.83"/>
    <s v="Store B"/>
    <x v="1"/>
    <n v="0"/>
    <x v="3"/>
    <n v="431.62"/>
    <x v="0"/>
    <s v="WINTER15"/>
    <n v="1"/>
    <s v="REG100019"/>
    <x v="19"/>
    <n v="7.1"/>
    <x v="19"/>
    <d v="2023-07-02T00:00:00"/>
    <x v="4"/>
    <n v="431.62"/>
    <n v="0"/>
    <n v="431.62"/>
    <n v="10"/>
    <x v="0"/>
    <n v="0"/>
  </r>
  <r>
    <d v="2025-06-05T00:00:00"/>
    <x v="4"/>
    <x v="1"/>
    <x v="12"/>
    <n v="319.05"/>
    <s v="Store D"/>
    <x v="0"/>
    <n v="0"/>
    <x v="4"/>
    <n v="3190.5"/>
    <x v="0"/>
    <m/>
    <n v="0"/>
    <s v="REG100020"/>
    <x v="20"/>
    <n v="28.43"/>
    <x v="20"/>
    <d v="2025-06-08T00:00:00"/>
    <x v="4"/>
    <n v="3190.5"/>
    <n v="0"/>
    <n v="3190.5"/>
    <n v="3"/>
    <x v="0"/>
    <n v="0"/>
  </r>
  <r>
    <d v="2023-03-03T00:00:00"/>
    <x v="3"/>
    <x v="3"/>
    <x v="0"/>
    <n v="312.79000000000002"/>
    <s v="Store A"/>
    <x v="1"/>
    <n v="0.05"/>
    <x v="5"/>
    <n v="4160.107"/>
    <x v="0"/>
    <m/>
    <n v="1"/>
    <s v="REG100021"/>
    <x v="21"/>
    <n v="46.83"/>
    <x v="21"/>
    <d v="2023-03-08T00:00:00"/>
    <x v="3"/>
    <n v="4379.0600000000004"/>
    <n v="218.95300000000003"/>
    <n v="4160.107"/>
    <n v="5"/>
    <x v="16"/>
    <n v="0"/>
  </r>
  <r>
    <d v="2024-02-18T00:00:00"/>
    <x v="2"/>
    <x v="0"/>
    <x v="0"/>
    <n v="395.45"/>
    <s v="Store C"/>
    <x v="1"/>
    <n v="0"/>
    <x v="3"/>
    <n v="5536.3"/>
    <x v="4"/>
    <s v="FREESHIP"/>
    <n v="1"/>
    <s v="REG100022"/>
    <x v="22"/>
    <n v="36.450000000000003"/>
    <x v="22"/>
    <d v="2024-02-22T00:00:00"/>
    <x v="2"/>
    <n v="5536.3"/>
    <n v="0"/>
    <n v="5536.3"/>
    <n v="4"/>
    <x v="0"/>
    <n v="0"/>
  </r>
  <r>
    <d v="2023-08-06T00:00:00"/>
    <x v="3"/>
    <x v="0"/>
    <x v="13"/>
    <n v="472.72"/>
    <s v="Store D"/>
    <x v="1"/>
    <n v="0.15"/>
    <x v="4"/>
    <n v="4821.7440000000006"/>
    <x v="2"/>
    <m/>
    <n v="0"/>
    <s v="REG100023"/>
    <x v="23"/>
    <n v="27.97"/>
    <x v="23"/>
    <d v="2023-08-14T00:00:00"/>
    <x v="3"/>
    <n v="5672.64"/>
    <n v="850.89600000000007"/>
    <n v="4821.7440000000006"/>
    <n v="8"/>
    <x v="17"/>
    <n v="0"/>
  </r>
  <r>
    <d v="2024-05-23T00:00:00"/>
    <x v="2"/>
    <x v="2"/>
    <x v="6"/>
    <n v="288.01"/>
    <s v="Store A"/>
    <x v="0"/>
    <n v="0"/>
    <x v="0"/>
    <n v="1440.05"/>
    <x v="2"/>
    <s v="FREESHIP"/>
    <n v="0"/>
    <s v="REG100024"/>
    <x v="24"/>
    <n v="46.69"/>
    <x v="24"/>
    <d v="2024-05-30T00:00:00"/>
    <x v="2"/>
    <n v="1440.05"/>
    <n v="0"/>
    <n v="1440.05"/>
    <n v="7"/>
    <x v="0"/>
    <n v="0"/>
  </r>
  <r>
    <d v="2023-10-23T00:00:00"/>
    <x v="0"/>
    <x v="1"/>
    <x v="14"/>
    <n v="562.29"/>
    <s v="Store D"/>
    <x v="1"/>
    <n v="0"/>
    <x v="4"/>
    <n v="7309.77"/>
    <x v="1"/>
    <s v="SAVE10"/>
    <n v="0"/>
    <s v="REG100025"/>
    <x v="25"/>
    <n v="38.130000000000003"/>
    <x v="25"/>
    <d v="2023-10-28T00:00:00"/>
    <x v="0"/>
    <n v="7309.7699999999995"/>
    <n v="0"/>
    <n v="7309.7699999999995"/>
    <n v="5"/>
    <x v="0"/>
    <n v="0"/>
  </r>
  <r>
    <d v="2025-06-16T00:00:00"/>
    <x v="4"/>
    <x v="1"/>
    <x v="1"/>
    <n v="101.73"/>
    <s v="Store D"/>
    <x v="1"/>
    <n v="0"/>
    <x v="2"/>
    <n v="101.73"/>
    <x v="3"/>
    <s v="WINTER15"/>
    <n v="0"/>
    <s v="REG100026"/>
    <x v="26"/>
    <n v="11.59"/>
    <x v="26"/>
    <d v="2025-06-25T00:00:00"/>
    <x v="4"/>
    <n v="101.73"/>
    <n v="0"/>
    <n v="101.73"/>
    <n v="9"/>
    <x v="0"/>
    <n v="0"/>
  </r>
  <r>
    <d v="2023-03-03T00:00:00"/>
    <x v="2"/>
    <x v="1"/>
    <x v="15"/>
    <n v="279.49"/>
    <s v="Store B"/>
    <x v="1"/>
    <n v="0"/>
    <x v="4"/>
    <n v="1117.96"/>
    <x v="2"/>
    <s v="FREESHIP"/>
    <n v="0"/>
    <s v="REG100027"/>
    <x v="27"/>
    <n v="24.78"/>
    <x v="21"/>
    <d v="2023-03-08T00:00:00"/>
    <x v="2"/>
    <n v="1117.96"/>
    <n v="0"/>
    <n v="1117.96"/>
    <n v="5"/>
    <x v="0"/>
    <n v="0"/>
  </r>
  <r>
    <d v="2024-11-18T00:00:00"/>
    <x v="1"/>
    <x v="0"/>
    <x v="1"/>
    <n v="178.55"/>
    <s v="Store A"/>
    <x v="1"/>
    <n v="0.15"/>
    <x v="3"/>
    <n v="151.76750000000001"/>
    <x v="3"/>
    <s v="SAVE10"/>
    <n v="1"/>
    <s v="REG100028"/>
    <x v="28"/>
    <n v="7.61"/>
    <x v="27"/>
    <d v="2024-11-21T00:00:00"/>
    <x v="1"/>
    <n v="178.55"/>
    <n v="26.782500000000002"/>
    <n v="151.76750000000001"/>
    <n v="3"/>
    <x v="18"/>
    <n v="0"/>
  </r>
  <r>
    <d v="2023-05-09T00:00:00"/>
    <x v="3"/>
    <x v="5"/>
    <x v="1"/>
    <n v="472.07"/>
    <s v="Store A"/>
    <x v="0"/>
    <n v="0.1"/>
    <x v="3"/>
    <n v="424.863"/>
    <x v="0"/>
    <s v="FREESHIP"/>
    <n v="0"/>
    <s v="REG100029"/>
    <x v="29"/>
    <n v="33.17"/>
    <x v="28"/>
    <d v="2023-05-17T00:00:00"/>
    <x v="3"/>
    <n v="472.07"/>
    <n v="47.207000000000001"/>
    <n v="424.863"/>
    <n v="8"/>
    <x v="19"/>
    <n v="0"/>
  </r>
  <r>
    <d v="2024-12-07T00:00:00"/>
    <x v="2"/>
    <x v="5"/>
    <x v="13"/>
    <n v="306.29000000000002"/>
    <s v="Store D"/>
    <x v="1"/>
    <n v="0"/>
    <x v="2"/>
    <n v="3675.48"/>
    <x v="3"/>
    <s v="SAVE10"/>
    <n v="0"/>
    <s v="REG100030"/>
    <x v="30"/>
    <n v="37.380000000000003"/>
    <x v="29"/>
    <d v="2024-12-14T00:00:00"/>
    <x v="2"/>
    <n v="3675.4800000000005"/>
    <n v="0"/>
    <n v="3675.4800000000005"/>
    <n v="7"/>
    <x v="0"/>
    <n v="0"/>
  </r>
  <r>
    <d v="2024-02-13T00:00:00"/>
    <x v="2"/>
    <x v="1"/>
    <x v="4"/>
    <n v="434.77"/>
    <s v="Store C"/>
    <x v="1"/>
    <n v="0.15"/>
    <x v="2"/>
    <n v="2586.8815"/>
    <x v="0"/>
    <s v="SAVE10"/>
    <n v="0"/>
    <s v="REG100031"/>
    <x v="31"/>
    <n v="12.35"/>
    <x v="30"/>
    <d v="2024-02-15T00:00:00"/>
    <x v="2"/>
    <n v="3043.39"/>
    <n v="456.50849999999997"/>
    <n v="2586.8815"/>
    <n v="2"/>
    <x v="20"/>
    <n v="0"/>
  </r>
  <r>
    <d v="2025-03-09T00:00:00"/>
    <x v="1"/>
    <x v="2"/>
    <x v="16"/>
    <n v="64.98"/>
    <s v="Store C"/>
    <x v="1"/>
    <n v="0"/>
    <x v="3"/>
    <n v="389.88"/>
    <x v="3"/>
    <s v="WINTER15"/>
    <n v="0"/>
    <s v="REG100032"/>
    <x v="32"/>
    <n v="21.25"/>
    <x v="31"/>
    <d v="2025-03-15T00:00:00"/>
    <x v="1"/>
    <n v="389.88"/>
    <n v="0"/>
    <n v="389.88"/>
    <n v="6"/>
    <x v="0"/>
    <n v="0"/>
  </r>
  <r>
    <d v="2023-04-05T00:00:00"/>
    <x v="3"/>
    <x v="2"/>
    <x v="9"/>
    <n v="476.49"/>
    <s v="Store D"/>
    <x v="1"/>
    <n v="0"/>
    <x v="1"/>
    <n v="8100.33"/>
    <x v="1"/>
    <m/>
    <n v="0"/>
    <s v="REG100033"/>
    <x v="33"/>
    <n v="17.91"/>
    <x v="32"/>
    <d v="2023-04-11T00:00:00"/>
    <x v="3"/>
    <n v="8100.33"/>
    <n v="0"/>
    <n v="8100.33"/>
    <n v="6"/>
    <x v="0"/>
    <n v="0"/>
  </r>
  <r>
    <d v="2025-05-08T00:00:00"/>
    <x v="2"/>
    <x v="4"/>
    <x v="15"/>
    <n v="559.72"/>
    <s v="Store D"/>
    <x v="1"/>
    <n v="0.15"/>
    <x v="4"/>
    <n v="1903.048"/>
    <x v="0"/>
    <s v="SAVE10"/>
    <n v="0"/>
    <s v="REG100034"/>
    <x v="34"/>
    <n v="41.91"/>
    <x v="33"/>
    <d v="2025-05-12T00:00:00"/>
    <x v="2"/>
    <n v="2238.88"/>
    <n v="335.83199999999999"/>
    <n v="1903.0480000000002"/>
    <n v="4"/>
    <x v="21"/>
    <n v="0"/>
  </r>
  <r>
    <d v="2023-09-03T00:00:00"/>
    <x v="2"/>
    <x v="5"/>
    <x v="0"/>
    <n v="82.14"/>
    <s v="Store C"/>
    <x v="1"/>
    <n v="0"/>
    <x v="1"/>
    <n v="1149.96"/>
    <x v="2"/>
    <m/>
    <n v="0"/>
    <s v="REG100035"/>
    <x v="35"/>
    <n v="12.57"/>
    <x v="34"/>
    <d v="2023-09-11T00:00:00"/>
    <x v="2"/>
    <n v="1149.96"/>
    <n v="0"/>
    <n v="1149.96"/>
    <n v="8"/>
    <x v="0"/>
    <n v="0"/>
  </r>
  <r>
    <d v="2025-03-21T00:00:00"/>
    <x v="3"/>
    <x v="3"/>
    <x v="17"/>
    <n v="343.21"/>
    <s v="Store A"/>
    <x v="1"/>
    <n v="0.05"/>
    <x v="3"/>
    <n v="2934.4454999999998"/>
    <x v="3"/>
    <s v="FREESHIP"/>
    <n v="0"/>
    <s v="REG100036"/>
    <x v="36"/>
    <n v="40.29"/>
    <x v="35"/>
    <d v="2025-03-28T00:00:00"/>
    <x v="3"/>
    <n v="3088.89"/>
    <n v="154.44450000000001"/>
    <n v="2934.4454999999998"/>
    <n v="7"/>
    <x v="22"/>
    <n v="0"/>
  </r>
  <r>
    <d v="2025-06-20T00:00:00"/>
    <x v="1"/>
    <x v="3"/>
    <x v="4"/>
    <n v="301.01"/>
    <s v="Store B"/>
    <x v="1"/>
    <n v="0.15"/>
    <x v="4"/>
    <n v="1791.0094999999999"/>
    <x v="4"/>
    <s v="SAVE10"/>
    <n v="1"/>
    <s v="REG100037"/>
    <x v="37"/>
    <n v="34.97"/>
    <x v="36"/>
    <d v="2025-06-30T00:00:00"/>
    <x v="1"/>
    <n v="2107.0699999999997"/>
    <n v="316.06049999999993"/>
    <n v="1791.0094999999997"/>
    <n v="10"/>
    <x v="23"/>
    <n v="0"/>
  </r>
  <r>
    <d v="2024-02-15T00:00:00"/>
    <x v="3"/>
    <x v="6"/>
    <x v="0"/>
    <n v="428.13"/>
    <s v="Store C"/>
    <x v="1"/>
    <n v="0.1"/>
    <x v="5"/>
    <n v="5394.4380000000001"/>
    <x v="4"/>
    <m/>
    <n v="1"/>
    <s v="REG100038"/>
    <x v="38"/>
    <n v="24.77"/>
    <x v="37"/>
    <d v="2024-02-25T00:00:00"/>
    <x v="3"/>
    <n v="5993.82"/>
    <n v="599.38199999999995"/>
    <n v="5394.4380000000001"/>
    <n v="10"/>
    <x v="24"/>
    <n v="0"/>
  </r>
  <r>
    <d v="2023-06-09T00:00:00"/>
    <x v="3"/>
    <x v="0"/>
    <x v="3"/>
    <n v="503.28"/>
    <s v="Store D"/>
    <x v="1"/>
    <n v="0.15"/>
    <x v="1"/>
    <n v="855.57599999999991"/>
    <x v="1"/>
    <m/>
    <n v="0"/>
    <s v="REG100039"/>
    <x v="39"/>
    <n v="34.79"/>
    <x v="38"/>
    <d v="2023-06-17T00:00:00"/>
    <x v="3"/>
    <n v="1006.56"/>
    <n v="150.98399999999998"/>
    <n v="855.57600000000002"/>
    <n v="8"/>
    <x v="25"/>
    <n v="0"/>
  </r>
  <r>
    <d v="2023-08-10T00:00:00"/>
    <x v="1"/>
    <x v="6"/>
    <x v="6"/>
    <n v="470.32"/>
    <s v="Store A"/>
    <x v="1"/>
    <n v="0.1"/>
    <x v="0"/>
    <n v="2116.44"/>
    <x v="3"/>
    <s v="SAVE10"/>
    <n v="0"/>
    <s v="REG100040"/>
    <x v="40"/>
    <n v="17.77"/>
    <x v="39"/>
    <d v="2023-08-14T00:00:00"/>
    <x v="1"/>
    <n v="2351.6"/>
    <n v="235.16"/>
    <n v="2116.44"/>
    <n v="4"/>
    <x v="26"/>
    <n v="0"/>
  </r>
  <r>
    <d v="2024-06-16T00:00:00"/>
    <x v="3"/>
    <x v="6"/>
    <x v="11"/>
    <n v="65.17"/>
    <s v="Store C"/>
    <x v="0"/>
    <n v="0.05"/>
    <x v="0"/>
    <n v="1238.23"/>
    <x v="1"/>
    <s v="FREESHIP"/>
    <n v="0"/>
    <s v="REG100041"/>
    <x v="41"/>
    <n v="21.72"/>
    <x v="40"/>
    <d v="2024-06-25T00:00:00"/>
    <x v="3"/>
    <n v="1303.4000000000001"/>
    <n v="65.17"/>
    <n v="1238.23"/>
    <n v="9"/>
    <x v="27"/>
    <n v="0"/>
  </r>
  <r>
    <d v="2023-07-23T00:00:00"/>
    <x v="1"/>
    <x v="0"/>
    <x v="13"/>
    <n v="36.17"/>
    <s v="Store A"/>
    <x v="1"/>
    <n v="0"/>
    <x v="0"/>
    <n v="434.04"/>
    <x v="0"/>
    <s v="WINTER15"/>
    <n v="0"/>
    <s v="REG100042"/>
    <x v="42"/>
    <n v="34.85"/>
    <x v="41"/>
    <d v="2023-07-26T00:00:00"/>
    <x v="1"/>
    <n v="434.04"/>
    <n v="0"/>
    <n v="434.04"/>
    <n v="3"/>
    <x v="0"/>
    <n v="0"/>
  </r>
  <r>
    <d v="2023-05-20T00:00:00"/>
    <x v="3"/>
    <x v="6"/>
    <x v="15"/>
    <n v="459.31"/>
    <s v="Store D"/>
    <x v="0"/>
    <n v="0.15"/>
    <x v="3"/>
    <n v="1561.654"/>
    <x v="1"/>
    <s v="WINTER15"/>
    <n v="1"/>
    <s v="REG100043"/>
    <x v="43"/>
    <n v="27.39"/>
    <x v="42"/>
    <d v="2023-05-27T00:00:00"/>
    <x v="3"/>
    <n v="1837.24"/>
    <n v="275.58600000000001"/>
    <n v="1561.654"/>
    <n v="7"/>
    <x v="28"/>
    <n v="0"/>
  </r>
  <r>
    <d v="2023-06-30T00:00:00"/>
    <x v="1"/>
    <x v="0"/>
    <x v="3"/>
    <n v="416.06"/>
    <s v="Store D"/>
    <x v="1"/>
    <n v="0.05"/>
    <x v="0"/>
    <n v="790.51400000000001"/>
    <x v="3"/>
    <s v="SAVE10"/>
    <n v="0"/>
    <s v="REG100044"/>
    <x v="44"/>
    <n v="11.62"/>
    <x v="43"/>
    <d v="2023-07-04T00:00:00"/>
    <x v="1"/>
    <n v="832.12"/>
    <n v="41.606000000000002"/>
    <n v="790.51400000000001"/>
    <n v="4"/>
    <x v="29"/>
    <n v="0"/>
  </r>
  <r>
    <d v="2024-06-04T00:00:00"/>
    <x v="1"/>
    <x v="5"/>
    <x v="18"/>
    <n v="302.58"/>
    <s v="Store D"/>
    <x v="1"/>
    <n v="0"/>
    <x v="1"/>
    <n v="4841.28"/>
    <x v="0"/>
    <s v="WINTER15"/>
    <n v="1"/>
    <s v="REG100045"/>
    <x v="45"/>
    <n v="20.76"/>
    <x v="44"/>
    <d v="2024-06-14T00:00:00"/>
    <x v="1"/>
    <n v="4841.28"/>
    <n v="0"/>
    <n v="4841.28"/>
    <n v="10"/>
    <x v="0"/>
    <n v="0"/>
  </r>
  <r>
    <d v="2025-02-03T00:00:00"/>
    <x v="4"/>
    <x v="3"/>
    <x v="10"/>
    <n v="33.130000000000003"/>
    <s v="Store A"/>
    <x v="1"/>
    <n v="0.15"/>
    <x v="2"/>
    <n v="309.76549999999997"/>
    <x v="0"/>
    <s v="FREESHIP"/>
    <n v="0"/>
    <s v="REG100046"/>
    <x v="46"/>
    <n v="24.95"/>
    <x v="45"/>
    <d v="2025-02-05T00:00:00"/>
    <x v="4"/>
    <n v="364.43"/>
    <n v="54.664499999999997"/>
    <n v="309.76550000000003"/>
    <n v="2"/>
    <x v="30"/>
    <n v="0"/>
  </r>
  <r>
    <d v="2024-01-09T00:00:00"/>
    <x v="0"/>
    <x v="5"/>
    <x v="19"/>
    <n v="582.52"/>
    <s v="Store D"/>
    <x v="1"/>
    <n v="0.15"/>
    <x v="2"/>
    <n v="3961.136"/>
    <x v="1"/>
    <s v="WINTER15"/>
    <n v="0"/>
    <s v="REG100047"/>
    <x v="47"/>
    <n v="6.47"/>
    <x v="46"/>
    <d v="2024-01-13T00:00:00"/>
    <x v="0"/>
    <n v="4660.16"/>
    <n v="699.024"/>
    <n v="3961.136"/>
    <n v="4"/>
    <x v="31"/>
    <n v="0"/>
  </r>
  <r>
    <d v="2024-03-14T00:00:00"/>
    <x v="2"/>
    <x v="2"/>
    <x v="6"/>
    <n v="165.15"/>
    <s v="Store A"/>
    <x v="1"/>
    <n v="0.1"/>
    <x v="0"/>
    <n v="743.17500000000007"/>
    <x v="1"/>
    <m/>
    <n v="0"/>
    <s v="REG100048"/>
    <x v="48"/>
    <n v="20.57"/>
    <x v="47"/>
    <d v="2024-03-16T00:00:00"/>
    <x v="2"/>
    <n v="825.75"/>
    <n v="82.575000000000003"/>
    <n v="743.17499999999995"/>
    <n v="2"/>
    <x v="32"/>
    <n v="0"/>
  </r>
  <r>
    <d v="2024-09-06T00:00:00"/>
    <x v="4"/>
    <x v="4"/>
    <x v="0"/>
    <n v="242.82"/>
    <s v="Store D"/>
    <x v="0"/>
    <n v="0.15"/>
    <x v="1"/>
    <n v="2889.558"/>
    <x v="4"/>
    <s v="WINTER15"/>
    <n v="1"/>
    <s v="REG100049"/>
    <x v="49"/>
    <n v="20.71"/>
    <x v="48"/>
    <d v="2024-09-13T00:00:00"/>
    <x v="4"/>
    <n v="3399.48"/>
    <n v="509.92199999999997"/>
    <n v="2889.558"/>
    <n v="7"/>
    <x v="33"/>
    <n v="0"/>
  </r>
  <r>
    <d v="2023-03-17T00:00:00"/>
    <x v="0"/>
    <x v="4"/>
    <x v="14"/>
    <n v="65.989999999999995"/>
    <s v="Store A"/>
    <x v="0"/>
    <n v="0.1"/>
    <x v="2"/>
    <n v="772.08299999999997"/>
    <x v="4"/>
    <s v="WINTER15"/>
    <n v="0"/>
    <s v="REG100050"/>
    <x v="50"/>
    <n v="12.87"/>
    <x v="49"/>
    <d v="2023-03-20T00:00:00"/>
    <x v="0"/>
    <n v="857.86999999999989"/>
    <n v="85.786999999999992"/>
    <n v="772.08299999999986"/>
    <n v="3"/>
    <x v="34"/>
    <n v="0"/>
  </r>
  <r>
    <d v="2025-01-17T00:00:00"/>
    <x v="4"/>
    <x v="3"/>
    <x v="3"/>
    <n v="251.69"/>
    <s v="Store C"/>
    <x v="0"/>
    <n v="0"/>
    <x v="1"/>
    <n v="503.38"/>
    <x v="3"/>
    <s v="FREESHIP"/>
    <n v="0"/>
    <s v="REG100051"/>
    <x v="51"/>
    <n v="42.49"/>
    <x v="50"/>
    <d v="2025-01-24T00:00:00"/>
    <x v="4"/>
    <n v="503.38"/>
    <n v="0"/>
    <n v="503.38"/>
    <n v="7"/>
    <x v="0"/>
    <n v="0"/>
  </r>
  <r>
    <d v="2024-09-12T00:00:00"/>
    <x v="1"/>
    <x v="0"/>
    <x v="1"/>
    <n v="269.41000000000003"/>
    <s v="Store B"/>
    <x v="0"/>
    <n v="0.1"/>
    <x v="0"/>
    <n v="242.46899999999999"/>
    <x v="4"/>
    <s v="WINTER15"/>
    <n v="1"/>
    <s v="REG100052"/>
    <x v="52"/>
    <n v="19.22"/>
    <x v="51"/>
    <d v="2024-09-18T00:00:00"/>
    <x v="1"/>
    <n v="269.41000000000003"/>
    <n v="26.941000000000003"/>
    <n v="242.46900000000002"/>
    <n v="6"/>
    <x v="35"/>
    <n v="0"/>
  </r>
  <r>
    <d v="2024-01-05T00:00:00"/>
    <x v="1"/>
    <x v="4"/>
    <x v="3"/>
    <n v="371.3"/>
    <s v="Store B"/>
    <x v="0"/>
    <n v="0.05"/>
    <x v="5"/>
    <n v="705.47"/>
    <x v="2"/>
    <s v="SAVE10"/>
    <n v="0"/>
    <s v="REG100053"/>
    <x v="53"/>
    <n v="36.51"/>
    <x v="52"/>
    <d v="2024-01-15T00:00:00"/>
    <x v="1"/>
    <n v="742.6"/>
    <n v="37.130000000000003"/>
    <n v="705.47"/>
    <n v="10"/>
    <x v="36"/>
    <n v="0"/>
  </r>
  <r>
    <d v="2024-04-19T00:00:00"/>
    <x v="4"/>
    <x v="5"/>
    <x v="10"/>
    <n v="288.24"/>
    <s v="Store A"/>
    <x v="0"/>
    <n v="0.15"/>
    <x v="4"/>
    <n v="2695.0439999999999"/>
    <x v="0"/>
    <m/>
    <n v="0"/>
    <s v="REG100054"/>
    <x v="54"/>
    <n v="37.39"/>
    <x v="53"/>
    <d v="2024-04-25T00:00:00"/>
    <x v="4"/>
    <n v="3170.6400000000003"/>
    <n v="475.596"/>
    <n v="2695.0440000000003"/>
    <n v="6"/>
    <x v="37"/>
    <n v="0"/>
  </r>
  <r>
    <d v="2025-06-11T00:00:00"/>
    <x v="3"/>
    <x v="5"/>
    <x v="10"/>
    <n v="232.75"/>
    <s v="Store D"/>
    <x v="0"/>
    <n v="0.05"/>
    <x v="0"/>
    <n v="2432.2375000000002"/>
    <x v="2"/>
    <s v="SAVE10"/>
    <n v="0"/>
    <s v="REG100055"/>
    <x v="55"/>
    <n v="36.33"/>
    <x v="54"/>
    <d v="2025-06-21T00:00:00"/>
    <x v="3"/>
    <n v="2560.25"/>
    <n v="128.01250000000002"/>
    <n v="2432.2375000000002"/>
    <n v="10"/>
    <x v="38"/>
    <n v="0"/>
  </r>
  <r>
    <d v="2025-03-06T00:00:00"/>
    <x v="0"/>
    <x v="1"/>
    <x v="9"/>
    <n v="146.28"/>
    <s v="Store B"/>
    <x v="1"/>
    <n v="0.15"/>
    <x v="3"/>
    <n v="2113.7460000000001"/>
    <x v="4"/>
    <s v="SAVE10"/>
    <n v="0"/>
    <s v="REG100056"/>
    <x v="56"/>
    <n v="7.84"/>
    <x v="55"/>
    <d v="2025-03-15T00:00:00"/>
    <x v="0"/>
    <n v="2486.7600000000002"/>
    <n v="373.01400000000001"/>
    <n v="2113.7460000000001"/>
    <n v="9"/>
    <x v="39"/>
    <n v="0"/>
  </r>
  <r>
    <d v="2023-05-24T00:00:00"/>
    <x v="0"/>
    <x v="3"/>
    <x v="6"/>
    <n v="100.38"/>
    <s v="Store C"/>
    <x v="1"/>
    <n v="0.1"/>
    <x v="0"/>
    <n v="451.71"/>
    <x v="1"/>
    <s v="WINTER15"/>
    <n v="1"/>
    <s v="REG100057"/>
    <x v="57"/>
    <n v="18.350000000000001"/>
    <x v="56"/>
    <d v="2023-05-26T00:00:00"/>
    <x v="0"/>
    <n v="501.9"/>
    <n v="50.19"/>
    <n v="451.71"/>
    <n v="2"/>
    <x v="40"/>
    <n v="0"/>
  </r>
  <r>
    <d v="2023-01-27T00:00:00"/>
    <x v="1"/>
    <x v="1"/>
    <x v="10"/>
    <n v="375.48"/>
    <s v="Store B"/>
    <x v="1"/>
    <n v="0.05"/>
    <x v="5"/>
    <n v="3923.766000000001"/>
    <x v="3"/>
    <s v="WINTER15"/>
    <n v="0"/>
    <s v="REG100058"/>
    <x v="58"/>
    <n v="15.95"/>
    <x v="57"/>
    <d v="2023-02-03T00:00:00"/>
    <x v="1"/>
    <n v="4130.2800000000007"/>
    <n v="206.51400000000004"/>
    <n v="3923.7660000000005"/>
    <n v="7"/>
    <x v="41"/>
    <n v="0"/>
  </r>
  <r>
    <d v="2024-03-21T00:00:00"/>
    <x v="1"/>
    <x v="0"/>
    <x v="2"/>
    <n v="316.89"/>
    <s v="Store B"/>
    <x v="0"/>
    <n v="0.05"/>
    <x v="5"/>
    <n v="5418.8190000000004"/>
    <x v="4"/>
    <s v="FREESHIP"/>
    <n v="0"/>
    <s v="REG100059"/>
    <x v="59"/>
    <n v="15.69"/>
    <x v="58"/>
    <d v="2024-03-27T00:00:00"/>
    <x v="1"/>
    <n v="5704.0199999999995"/>
    <n v="285.20099999999996"/>
    <n v="5418.8189999999995"/>
    <n v="6"/>
    <x v="42"/>
    <n v="0"/>
  </r>
  <r>
    <d v="2025-01-25T00:00:00"/>
    <x v="4"/>
    <x v="0"/>
    <x v="11"/>
    <n v="295.06"/>
    <s v="Store D"/>
    <x v="1"/>
    <n v="0.15"/>
    <x v="2"/>
    <n v="5016.0200000000004"/>
    <x v="0"/>
    <s v="SAVE10"/>
    <n v="1"/>
    <s v="REG100060"/>
    <x v="60"/>
    <n v="13.66"/>
    <x v="59"/>
    <d v="2025-01-31T00:00:00"/>
    <x v="4"/>
    <n v="5901.2"/>
    <n v="885.18"/>
    <n v="5016.0199999999995"/>
    <n v="6"/>
    <x v="43"/>
    <n v="0"/>
  </r>
  <r>
    <d v="2023-06-12T00:00:00"/>
    <x v="3"/>
    <x v="1"/>
    <x v="19"/>
    <n v="301.68"/>
    <s v="Store D"/>
    <x v="1"/>
    <n v="0"/>
    <x v="0"/>
    <n v="2413.44"/>
    <x v="4"/>
    <s v="SAVE10"/>
    <n v="0"/>
    <s v="REG100061"/>
    <x v="61"/>
    <n v="36.54"/>
    <x v="60"/>
    <d v="2023-06-21T00:00:00"/>
    <x v="3"/>
    <n v="2413.44"/>
    <n v="0"/>
    <n v="2413.44"/>
    <n v="9"/>
    <x v="0"/>
    <n v="0"/>
  </r>
  <r>
    <d v="2025-03-22T00:00:00"/>
    <x v="3"/>
    <x v="3"/>
    <x v="5"/>
    <n v="475.39"/>
    <s v="Store B"/>
    <x v="1"/>
    <n v="0.1"/>
    <x v="1"/>
    <n v="1283.5530000000001"/>
    <x v="1"/>
    <m/>
    <n v="0"/>
    <s v="REG100062"/>
    <x v="62"/>
    <n v="15.62"/>
    <x v="61"/>
    <d v="2025-03-26T00:00:00"/>
    <x v="3"/>
    <n v="1426.17"/>
    <n v="142.61700000000002"/>
    <n v="1283.5530000000001"/>
    <n v="4"/>
    <x v="44"/>
    <n v="0"/>
  </r>
  <r>
    <d v="2024-02-24T00:00:00"/>
    <x v="3"/>
    <x v="2"/>
    <x v="18"/>
    <n v="47.25"/>
    <s v="Store D"/>
    <x v="1"/>
    <n v="0.15"/>
    <x v="5"/>
    <n v="642.6"/>
    <x v="3"/>
    <s v="FREESHIP"/>
    <n v="0"/>
    <s v="REG100063"/>
    <x v="63"/>
    <n v="29.5"/>
    <x v="62"/>
    <d v="2024-02-27T00:00:00"/>
    <x v="3"/>
    <n v="756"/>
    <n v="113.39999999999999"/>
    <n v="642.6"/>
    <n v="3"/>
    <x v="45"/>
    <n v="0"/>
  </r>
  <r>
    <d v="2023-12-09T00:00:00"/>
    <x v="1"/>
    <x v="3"/>
    <x v="7"/>
    <n v="511.17"/>
    <s v="Store B"/>
    <x v="0"/>
    <n v="0"/>
    <x v="2"/>
    <n v="7667.55"/>
    <x v="0"/>
    <s v="FREESHIP"/>
    <n v="0"/>
    <s v="REG100064"/>
    <x v="64"/>
    <n v="21.77"/>
    <x v="63"/>
    <d v="2023-12-12T00:00:00"/>
    <x v="1"/>
    <n v="7667.55"/>
    <n v="0"/>
    <n v="7667.55"/>
    <n v="3"/>
    <x v="0"/>
    <n v="0"/>
  </r>
  <r>
    <d v="2023-10-01T00:00:00"/>
    <x v="3"/>
    <x v="4"/>
    <x v="5"/>
    <n v="66.58"/>
    <s v="Store B"/>
    <x v="1"/>
    <n v="0.1"/>
    <x v="2"/>
    <n v="179.76599999999999"/>
    <x v="3"/>
    <s v="FREESHIP"/>
    <n v="0"/>
    <s v="REG100065"/>
    <x v="65"/>
    <n v="22.43"/>
    <x v="64"/>
    <d v="2023-10-05T00:00:00"/>
    <x v="3"/>
    <n v="199.74"/>
    <n v="19.974000000000004"/>
    <n v="179.76600000000002"/>
    <n v="4"/>
    <x v="46"/>
    <n v="0"/>
  </r>
  <r>
    <d v="2023-07-31T00:00:00"/>
    <x v="4"/>
    <x v="5"/>
    <x v="6"/>
    <n v="490.52"/>
    <s v="Store D"/>
    <x v="0"/>
    <n v="0.05"/>
    <x v="2"/>
    <n v="2329.9699999999998"/>
    <x v="0"/>
    <m/>
    <n v="0"/>
    <s v="REG100066"/>
    <x v="66"/>
    <n v="12.24"/>
    <x v="65"/>
    <d v="2023-08-07T00:00:00"/>
    <x v="4"/>
    <n v="2452.6"/>
    <n v="122.63"/>
    <n v="2329.9699999999998"/>
    <n v="7"/>
    <x v="47"/>
    <n v="0"/>
  </r>
  <r>
    <d v="2024-12-24T00:00:00"/>
    <x v="1"/>
    <x v="3"/>
    <x v="19"/>
    <n v="405.96"/>
    <s v="Store A"/>
    <x v="0"/>
    <n v="0.05"/>
    <x v="3"/>
    <n v="3085.2959999999998"/>
    <x v="2"/>
    <s v="WINTER15"/>
    <n v="0"/>
    <s v="REG100067"/>
    <x v="67"/>
    <n v="41.27"/>
    <x v="66"/>
    <d v="2024-12-31T00:00:00"/>
    <x v="1"/>
    <n v="3247.68"/>
    <n v="162.38400000000001"/>
    <n v="3085.2959999999998"/>
    <n v="7"/>
    <x v="48"/>
    <n v="0"/>
  </r>
  <r>
    <d v="2024-11-15T00:00:00"/>
    <x v="2"/>
    <x v="1"/>
    <x v="1"/>
    <n v="159.41"/>
    <s v="Store B"/>
    <x v="1"/>
    <n v="0.1"/>
    <x v="5"/>
    <n v="143.46899999999999"/>
    <x v="2"/>
    <s v="FREESHIP"/>
    <n v="0"/>
    <s v="REG100068"/>
    <x v="68"/>
    <n v="35.14"/>
    <x v="67"/>
    <d v="2024-11-19T00:00:00"/>
    <x v="2"/>
    <n v="159.41"/>
    <n v="15.941000000000001"/>
    <n v="143.46899999999999"/>
    <n v="4"/>
    <x v="49"/>
    <n v="0"/>
  </r>
  <r>
    <d v="2025-03-13T00:00:00"/>
    <x v="4"/>
    <x v="4"/>
    <x v="18"/>
    <n v="38.49"/>
    <s v="Store C"/>
    <x v="1"/>
    <n v="0.15"/>
    <x v="3"/>
    <n v="523.46400000000006"/>
    <x v="3"/>
    <s v="SAVE10"/>
    <n v="0"/>
    <s v="REG100069"/>
    <x v="69"/>
    <n v="8.3800000000000008"/>
    <x v="68"/>
    <d v="2025-03-22T00:00:00"/>
    <x v="4"/>
    <n v="615.84"/>
    <n v="92.376000000000005"/>
    <n v="523.46400000000006"/>
    <n v="9"/>
    <x v="50"/>
    <n v="0"/>
  </r>
  <r>
    <d v="2024-03-03T00:00:00"/>
    <x v="0"/>
    <x v="5"/>
    <x v="7"/>
    <n v="328.36"/>
    <s v="Store D"/>
    <x v="1"/>
    <n v="0.15"/>
    <x v="1"/>
    <n v="4186.59"/>
    <x v="1"/>
    <s v="WINTER15"/>
    <n v="0"/>
    <s v="REG100070"/>
    <x v="70"/>
    <n v="15.76"/>
    <x v="69"/>
    <d v="2024-03-12T00:00:00"/>
    <x v="0"/>
    <n v="4925.4000000000005"/>
    <n v="738.81000000000006"/>
    <n v="4186.59"/>
    <n v="9"/>
    <x v="51"/>
    <n v="0"/>
  </r>
  <r>
    <d v="2023-02-11T00:00:00"/>
    <x v="3"/>
    <x v="5"/>
    <x v="11"/>
    <n v="548.01"/>
    <s v="Store A"/>
    <x v="0"/>
    <n v="0.1"/>
    <x v="0"/>
    <n v="9864.18"/>
    <x v="2"/>
    <s v="WINTER15"/>
    <n v="1"/>
    <s v="REG100071"/>
    <x v="71"/>
    <n v="5.89"/>
    <x v="70"/>
    <d v="2023-02-14T00:00:00"/>
    <x v="3"/>
    <n v="10960.2"/>
    <n v="1096.0200000000002"/>
    <n v="9864.18"/>
    <n v="3"/>
    <x v="52"/>
    <n v="0"/>
  </r>
  <r>
    <d v="2023-10-26T00:00:00"/>
    <x v="1"/>
    <x v="2"/>
    <x v="14"/>
    <n v="484.45"/>
    <s v="Store B"/>
    <x v="0"/>
    <n v="0.05"/>
    <x v="3"/>
    <n v="5982.9575000000004"/>
    <x v="1"/>
    <s v="WINTER15"/>
    <n v="1"/>
    <s v="REG100072"/>
    <x v="72"/>
    <n v="6.57"/>
    <x v="71"/>
    <d v="2023-11-05T00:00:00"/>
    <x v="1"/>
    <n v="6297.8499999999995"/>
    <n v="314.89249999999998"/>
    <n v="5982.9574999999995"/>
    <n v="10"/>
    <x v="53"/>
    <n v="0"/>
  </r>
  <r>
    <d v="2023-10-21T00:00:00"/>
    <x v="1"/>
    <x v="4"/>
    <x v="14"/>
    <n v="195.84"/>
    <s v="Store A"/>
    <x v="0"/>
    <n v="0.05"/>
    <x v="1"/>
    <n v="2418.6239999999998"/>
    <x v="2"/>
    <m/>
    <n v="0"/>
    <s v="REG100073"/>
    <x v="73"/>
    <n v="33.520000000000003"/>
    <x v="72"/>
    <d v="2023-10-28T00:00:00"/>
    <x v="1"/>
    <n v="2545.92"/>
    <n v="127.29600000000001"/>
    <n v="2418.6240000000003"/>
    <n v="7"/>
    <x v="54"/>
    <n v="0"/>
  </r>
  <r>
    <d v="2024-01-14T00:00:00"/>
    <x v="3"/>
    <x v="5"/>
    <x v="8"/>
    <n v="29.94"/>
    <s v="Store D"/>
    <x v="1"/>
    <n v="0.15"/>
    <x v="4"/>
    <n v="483.53100000000001"/>
    <x v="3"/>
    <s v="FREESHIP"/>
    <n v="0"/>
    <s v="REG100074"/>
    <x v="74"/>
    <n v="33.590000000000003"/>
    <x v="73"/>
    <d v="2024-01-20T00:00:00"/>
    <x v="3"/>
    <n v="568.86"/>
    <n v="85.328999999999994"/>
    <n v="483.53100000000001"/>
    <n v="6"/>
    <x v="55"/>
    <n v="0"/>
  </r>
  <r>
    <d v="2023-07-27T00:00:00"/>
    <x v="3"/>
    <x v="2"/>
    <x v="12"/>
    <n v="553.91"/>
    <s v="Store D"/>
    <x v="0"/>
    <n v="0.1"/>
    <x v="0"/>
    <n v="4985.1899999999996"/>
    <x v="0"/>
    <m/>
    <n v="0"/>
    <s v="REG100075"/>
    <x v="75"/>
    <n v="31.3"/>
    <x v="74"/>
    <d v="2023-07-31T00:00:00"/>
    <x v="3"/>
    <n v="5539.0999999999995"/>
    <n v="553.91"/>
    <n v="4985.1899999999996"/>
    <n v="4"/>
    <x v="56"/>
    <n v="0"/>
  </r>
  <r>
    <d v="2024-10-23T00:00:00"/>
    <x v="1"/>
    <x v="1"/>
    <x v="0"/>
    <n v="445.52"/>
    <s v="Store B"/>
    <x v="1"/>
    <n v="0.1"/>
    <x v="5"/>
    <n v="5613.5519999999997"/>
    <x v="0"/>
    <s v="SAVE10"/>
    <n v="0"/>
    <s v="REG100076"/>
    <x v="76"/>
    <n v="14.41"/>
    <x v="75"/>
    <d v="2024-10-25T00:00:00"/>
    <x v="1"/>
    <n v="6237.28"/>
    <n v="623.72800000000007"/>
    <n v="5613.5519999999997"/>
    <n v="2"/>
    <x v="57"/>
    <n v="0"/>
  </r>
  <r>
    <d v="2023-09-26T00:00:00"/>
    <x v="1"/>
    <x v="3"/>
    <x v="6"/>
    <n v="551.58000000000004"/>
    <s v="Store B"/>
    <x v="1"/>
    <n v="0.15"/>
    <x v="1"/>
    <n v="2344.2150000000001"/>
    <x v="0"/>
    <s v="WINTER15"/>
    <n v="1"/>
    <s v="REG100077"/>
    <x v="77"/>
    <n v="7.87"/>
    <x v="76"/>
    <d v="2023-10-01T00:00:00"/>
    <x v="1"/>
    <n v="2757.9"/>
    <n v="413.685"/>
    <n v="2344.2150000000001"/>
    <n v="5"/>
    <x v="58"/>
    <n v="0"/>
  </r>
  <r>
    <d v="2023-12-16T00:00:00"/>
    <x v="0"/>
    <x v="1"/>
    <x v="14"/>
    <n v="241.4"/>
    <s v="Store D"/>
    <x v="1"/>
    <n v="0"/>
    <x v="3"/>
    <n v="3138.2"/>
    <x v="1"/>
    <s v="SAVE10"/>
    <n v="0"/>
    <s v="REG100078"/>
    <x v="78"/>
    <n v="49.05"/>
    <x v="77"/>
    <d v="2023-12-20T00:00:00"/>
    <x v="0"/>
    <n v="3138.2000000000003"/>
    <n v="0"/>
    <n v="3138.2000000000003"/>
    <n v="4"/>
    <x v="0"/>
    <n v="0"/>
  </r>
  <r>
    <d v="2024-01-02T00:00:00"/>
    <x v="3"/>
    <x v="6"/>
    <x v="8"/>
    <n v="351.93"/>
    <s v="Store A"/>
    <x v="0"/>
    <n v="0"/>
    <x v="1"/>
    <n v="6686.67"/>
    <x v="2"/>
    <m/>
    <n v="0"/>
    <s v="REG100079"/>
    <x v="79"/>
    <n v="39.979999999999997"/>
    <x v="78"/>
    <d v="2024-01-05T00:00:00"/>
    <x v="3"/>
    <n v="6686.67"/>
    <n v="0"/>
    <n v="6686.67"/>
    <n v="3"/>
    <x v="0"/>
    <n v="0"/>
  </r>
  <r>
    <d v="2024-02-16T00:00:00"/>
    <x v="2"/>
    <x v="1"/>
    <x v="15"/>
    <n v="83.75"/>
    <s v="Store A"/>
    <x v="1"/>
    <n v="0.05"/>
    <x v="1"/>
    <n v="318.25"/>
    <x v="3"/>
    <s v="SAVE10"/>
    <n v="1"/>
    <s v="REG100080"/>
    <x v="80"/>
    <n v="38.82"/>
    <x v="79"/>
    <d v="2024-02-25T00:00:00"/>
    <x v="2"/>
    <n v="335"/>
    <n v="16.75"/>
    <n v="318.25"/>
    <n v="9"/>
    <x v="59"/>
    <n v="0"/>
  </r>
  <r>
    <d v="2024-05-03T00:00:00"/>
    <x v="0"/>
    <x v="4"/>
    <x v="6"/>
    <n v="416.95"/>
    <s v="Store A"/>
    <x v="0"/>
    <n v="0.15"/>
    <x v="2"/>
    <n v="1772.0374999999999"/>
    <x v="0"/>
    <m/>
    <n v="1"/>
    <s v="REG100081"/>
    <x v="81"/>
    <n v="24.03"/>
    <x v="80"/>
    <d v="2024-05-12T00:00:00"/>
    <x v="0"/>
    <n v="2084.75"/>
    <n v="312.71249999999998"/>
    <n v="1772.0374999999999"/>
    <n v="9"/>
    <x v="60"/>
    <n v="0"/>
  </r>
  <r>
    <d v="2023-05-27T00:00:00"/>
    <x v="4"/>
    <x v="4"/>
    <x v="2"/>
    <n v="142.43"/>
    <s v="Store C"/>
    <x v="1"/>
    <n v="0.05"/>
    <x v="5"/>
    <n v="2435.5529999999999"/>
    <x v="2"/>
    <s v="SAVE10"/>
    <n v="1"/>
    <s v="REG100082"/>
    <x v="82"/>
    <n v="12.38"/>
    <x v="81"/>
    <d v="2023-06-02T00:00:00"/>
    <x v="4"/>
    <n v="2563.7400000000002"/>
    <n v="128.18700000000001"/>
    <n v="2435.5530000000003"/>
    <n v="6"/>
    <x v="61"/>
    <n v="0"/>
  </r>
  <r>
    <d v="2023-01-05T00:00:00"/>
    <x v="0"/>
    <x v="2"/>
    <x v="13"/>
    <n v="582.52"/>
    <s v="Store A"/>
    <x v="0"/>
    <n v="0"/>
    <x v="5"/>
    <n v="6990.24"/>
    <x v="2"/>
    <s v="FREESHIP"/>
    <n v="0"/>
    <s v="REG100083"/>
    <x v="83"/>
    <n v="41.16"/>
    <x v="82"/>
    <d v="2023-01-11T00:00:00"/>
    <x v="0"/>
    <n v="6990.24"/>
    <n v="0"/>
    <n v="6990.24"/>
    <n v="6"/>
    <x v="0"/>
    <n v="0"/>
  </r>
  <r>
    <d v="2025-05-21T00:00:00"/>
    <x v="0"/>
    <x v="3"/>
    <x v="11"/>
    <n v="129.56"/>
    <s v="Store A"/>
    <x v="1"/>
    <n v="0.15"/>
    <x v="4"/>
    <n v="2202.52"/>
    <x v="0"/>
    <s v="WINTER15"/>
    <n v="0"/>
    <s v="REG100084"/>
    <x v="84"/>
    <n v="40.21"/>
    <x v="83"/>
    <d v="2025-05-23T00:00:00"/>
    <x v="0"/>
    <n v="2591.1999999999998"/>
    <n v="388.67999999999995"/>
    <n v="2202.52"/>
    <n v="2"/>
    <x v="62"/>
    <n v="0"/>
  </r>
  <r>
    <d v="2023-07-21T00:00:00"/>
    <x v="3"/>
    <x v="5"/>
    <x v="9"/>
    <n v="431.82"/>
    <s v="Store B"/>
    <x v="1"/>
    <n v="0"/>
    <x v="0"/>
    <n v="7340.94"/>
    <x v="1"/>
    <s v="FREESHIP"/>
    <n v="1"/>
    <s v="REG100085"/>
    <x v="85"/>
    <n v="37.75"/>
    <x v="12"/>
    <d v="2023-07-25T00:00:00"/>
    <x v="3"/>
    <n v="7340.94"/>
    <n v="0"/>
    <n v="7340.94"/>
    <n v="4"/>
    <x v="0"/>
    <n v="0"/>
  </r>
  <r>
    <d v="2025-05-25T00:00:00"/>
    <x v="0"/>
    <x v="0"/>
    <x v="7"/>
    <n v="15.85"/>
    <s v="Store C"/>
    <x v="1"/>
    <n v="0"/>
    <x v="5"/>
    <n v="237.75"/>
    <x v="3"/>
    <s v="WINTER15"/>
    <n v="0"/>
    <s v="REG100086"/>
    <x v="86"/>
    <n v="23.49"/>
    <x v="84"/>
    <d v="2025-06-03T00:00:00"/>
    <x v="0"/>
    <n v="237.75"/>
    <n v="0"/>
    <n v="237.75"/>
    <n v="9"/>
    <x v="0"/>
    <n v="0"/>
  </r>
  <r>
    <d v="2024-11-16T00:00:00"/>
    <x v="1"/>
    <x v="5"/>
    <x v="11"/>
    <n v="548.34"/>
    <s v="Store B"/>
    <x v="1"/>
    <n v="0.1"/>
    <x v="5"/>
    <n v="9870.1200000000008"/>
    <x v="1"/>
    <s v="WINTER15"/>
    <n v="0"/>
    <s v="REG100087"/>
    <x v="87"/>
    <n v="33.47"/>
    <x v="85"/>
    <d v="2024-11-22T00:00:00"/>
    <x v="1"/>
    <n v="10966.800000000001"/>
    <n v="1096.68"/>
    <n v="9870.1200000000008"/>
    <n v="6"/>
    <x v="63"/>
    <n v="0"/>
  </r>
  <r>
    <d v="2023-11-19T00:00:00"/>
    <x v="2"/>
    <x v="0"/>
    <x v="18"/>
    <n v="525.83000000000004"/>
    <s v="Store C"/>
    <x v="0"/>
    <n v="0.05"/>
    <x v="2"/>
    <n v="7992.616"/>
    <x v="0"/>
    <m/>
    <n v="0"/>
    <s v="REG100088"/>
    <x v="88"/>
    <n v="36.47"/>
    <x v="86"/>
    <d v="2023-11-25T00:00:00"/>
    <x v="2"/>
    <n v="8413.2800000000007"/>
    <n v="420.66400000000004"/>
    <n v="7992.6160000000009"/>
    <n v="6"/>
    <x v="64"/>
    <n v="0"/>
  </r>
  <r>
    <d v="2025-01-12T00:00:00"/>
    <x v="3"/>
    <x v="0"/>
    <x v="7"/>
    <n v="411.38"/>
    <s v="Store A"/>
    <x v="0"/>
    <n v="0.05"/>
    <x v="5"/>
    <n v="5862.165"/>
    <x v="0"/>
    <s v="SAVE10"/>
    <n v="0"/>
    <s v="REG100089"/>
    <x v="89"/>
    <n v="48.51"/>
    <x v="87"/>
    <d v="2025-01-21T00:00:00"/>
    <x v="3"/>
    <n v="6170.7"/>
    <n v="308.53500000000003"/>
    <n v="5862.165"/>
    <n v="9"/>
    <x v="65"/>
    <n v="0"/>
  </r>
  <r>
    <d v="2023-03-29T00:00:00"/>
    <x v="2"/>
    <x v="4"/>
    <x v="8"/>
    <n v="559.95000000000005"/>
    <s v="Store A"/>
    <x v="0"/>
    <n v="0.1"/>
    <x v="3"/>
    <n v="9575.1450000000004"/>
    <x v="2"/>
    <s v="WINTER15"/>
    <n v="0"/>
    <s v="REG100090"/>
    <x v="90"/>
    <n v="18.3"/>
    <x v="88"/>
    <d v="2023-04-03T00:00:00"/>
    <x v="2"/>
    <n v="10639.050000000001"/>
    <n v="1063.9050000000002"/>
    <n v="9575.1450000000004"/>
    <n v="5"/>
    <x v="66"/>
    <n v="0"/>
  </r>
  <r>
    <d v="2025-03-01T00:00:00"/>
    <x v="2"/>
    <x v="2"/>
    <x v="19"/>
    <n v="179.9"/>
    <s v="Store C"/>
    <x v="1"/>
    <n v="0.05"/>
    <x v="3"/>
    <n v="1367.24"/>
    <x v="0"/>
    <s v="SAVE10"/>
    <n v="0"/>
    <s v="REG100091"/>
    <x v="91"/>
    <n v="14.8"/>
    <x v="89"/>
    <d v="2025-03-05T00:00:00"/>
    <x v="2"/>
    <n v="1439.2"/>
    <n v="71.960000000000008"/>
    <n v="1367.24"/>
    <n v="4"/>
    <x v="67"/>
    <n v="0"/>
  </r>
  <r>
    <d v="2023-10-18T00:00:00"/>
    <x v="2"/>
    <x v="3"/>
    <x v="13"/>
    <n v="494.15"/>
    <s v="Store B"/>
    <x v="0"/>
    <n v="0.15"/>
    <x v="4"/>
    <n v="5040.329999999999"/>
    <x v="0"/>
    <s v="SAVE10"/>
    <n v="1"/>
    <s v="REG100092"/>
    <x v="92"/>
    <n v="18.05"/>
    <x v="90"/>
    <d v="2023-10-20T00:00:00"/>
    <x v="2"/>
    <n v="5929.7999999999993"/>
    <n v="889.46999999999991"/>
    <n v="5040.329999999999"/>
    <n v="2"/>
    <x v="68"/>
    <n v="0"/>
  </r>
  <r>
    <d v="2025-04-13T00:00:00"/>
    <x v="0"/>
    <x v="2"/>
    <x v="12"/>
    <n v="462.99"/>
    <s v="Store C"/>
    <x v="0"/>
    <n v="0"/>
    <x v="5"/>
    <n v="4629.8999999999996"/>
    <x v="2"/>
    <s v="WINTER15"/>
    <n v="0"/>
    <s v="REG100093"/>
    <x v="93"/>
    <n v="5.01"/>
    <x v="91"/>
    <d v="2025-04-15T00:00:00"/>
    <x v="0"/>
    <n v="4629.8999999999996"/>
    <n v="0"/>
    <n v="4629.8999999999996"/>
    <n v="2"/>
    <x v="0"/>
    <n v="0"/>
  </r>
  <r>
    <d v="2025-05-13T00:00:00"/>
    <x v="3"/>
    <x v="0"/>
    <x v="4"/>
    <n v="460.24"/>
    <s v="Store A"/>
    <x v="1"/>
    <n v="0.05"/>
    <x v="1"/>
    <n v="3060.596"/>
    <x v="4"/>
    <s v="SAVE10"/>
    <n v="1"/>
    <s v="REG100094"/>
    <x v="94"/>
    <n v="11.54"/>
    <x v="92"/>
    <d v="2025-05-23T00:00:00"/>
    <x v="3"/>
    <n v="3221.6800000000003"/>
    <n v="161.08400000000003"/>
    <n v="3060.5960000000005"/>
    <n v="10"/>
    <x v="69"/>
    <n v="0"/>
  </r>
  <r>
    <d v="2024-04-21T00:00:00"/>
    <x v="4"/>
    <x v="6"/>
    <x v="9"/>
    <n v="309.52"/>
    <s v="Store B"/>
    <x v="0"/>
    <n v="0.05"/>
    <x v="0"/>
    <n v="4998.7479999999996"/>
    <x v="0"/>
    <s v="FREESHIP"/>
    <n v="0"/>
    <s v="REG100095"/>
    <x v="95"/>
    <n v="6.11"/>
    <x v="93"/>
    <d v="2024-04-27T00:00:00"/>
    <x v="4"/>
    <n v="5261.84"/>
    <n v="263.09200000000004"/>
    <n v="4998.7480000000005"/>
    <n v="6"/>
    <x v="70"/>
    <n v="0"/>
  </r>
  <r>
    <d v="2025-01-31T00:00:00"/>
    <x v="3"/>
    <x v="4"/>
    <x v="1"/>
    <n v="323.83"/>
    <s v="Store B"/>
    <x v="0"/>
    <n v="0.05"/>
    <x v="0"/>
    <n v="307.63850000000002"/>
    <x v="2"/>
    <s v="WINTER15"/>
    <n v="0"/>
    <s v="REG100096"/>
    <x v="96"/>
    <n v="27.48"/>
    <x v="94"/>
    <d v="2025-02-08T00:00:00"/>
    <x v="3"/>
    <n v="323.83"/>
    <n v="16.191500000000001"/>
    <n v="307.63849999999996"/>
    <n v="8"/>
    <x v="71"/>
    <n v="0"/>
  </r>
  <r>
    <d v="2025-03-14T00:00:00"/>
    <x v="3"/>
    <x v="3"/>
    <x v="12"/>
    <n v="503.07"/>
    <s v="Store C"/>
    <x v="1"/>
    <n v="0"/>
    <x v="5"/>
    <n v="5030.7"/>
    <x v="2"/>
    <s v="FREESHIP"/>
    <n v="0"/>
    <s v="REG100097"/>
    <x v="97"/>
    <n v="44.61"/>
    <x v="95"/>
    <d v="2025-03-19T00:00:00"/>
    <x v="3"/>
    <n v="5030.7"/>
    <n v="0"/>
    <n v="5030.7"/>
    <n v="5"/>
    <x v="0"/>
    <n v="0"/>
  </r>
  <r>
    <d v="2024-05-26T00:00:00"/>
    <x v="4"/>
    <x v="0"/>
    <x v="11"/>
    <n v="491.68"/>
    <s v="Store D"/>
    <x v="0"/>
    <n v="0.15"/>
    <x v="1"/>
    <n v="8358.56"/>
    <x v="0"/>
    <s v="SAVE10"/>
    <n v="1"/>
    <s v="REG100098"/>
    <x v="98"/>
    <n v="43.46"/>
    <x v="96"/>
    <d v="2024-05-29T00:00:00"/>
    <x v="4"/>
    <n v="9833.6"/>
    <n v="1475.04"/>
    <n v="8358.5600000000013"/>
    <n v="3"/>
    <x v="72"/>
    <n v="0"/>
  </r>
  <r>
    <d v="2023-07-22T00:00:00"/>
    <x v="2"/>
    <x v="1"/>
    <x v="9"/>
    <n v="468.45"/>
    <s v="Store A"/>
    <x v="1"/>
    <n v="0.05"/>
    <x v="3"/>
    <n v="7565.4674999999997"/>
    <x v="2"/>
    <s v="FREESHIP"/>
    <n v="0"/>
    <s v="REG100099"/>
    <x v="99"/>
    <n v="17.88"/>
    <x v="97"/>
    <d v="2023-07-26T00:00:00"/>
    <x v="2"/>
    <n v="7963.65"/>
    <n v="398.1825"/>
    <n v="7565.4674999999997"/>
    <n v="4"/>
    <x v="73"/>
    <n v="0"/>
  </r>
  <r>
    <d v="2024-03-21T00:00:00"/>
    <x v="2"/>
    <x v="0"/>
    <x v="10"/>
    <n v="401.76"/>
    <s v="Store D"/>
    <x v="1"/>
    <n v="0.15"/>
    <x v="2"/>
    <n v="3756.4560000000001"/>
    <x v="1"/>
    <s v="SAVE10"/>
    <n v="0"/>
    <s v="REG100100"/>
    <x v="100"/>
    <n v="48.03"/>
    <x v="58"/>
    <d v="2024-03-30T00:00:00"/>
    <x v="2"/>
    <n v="4419.3599999999997"/>
    <n v="662.90399999999988"/>
    <n v="3756.4559999999997"/>
    <n v="9"/>
    <x v="74"/>
    <n v="0"/>
  </r>
  <r>
    <d v="2023-04-05T00:00:00"/>
    <x v="4"/>
    <x v="6"/>
    <x v="5"/>
    <n v="221"/>
    <s v="Store B"/>
    <x v="0"/>
    <n v="0"/>
    <x v="2"/>
    <n v="663"/>
    <x v="4"/>
    <s v="FREESHIP"/>
    <n v="0"/>
    <s v="REG100101"/>
    <x v="101"/>
    <n v="32.31"/>
    <x v="32"/>
    <d v="2023-04-08T00:00:00"/>
    <x v="4"/>
    <n v="663"/>
    <n v="0"/>
    <n v="663"/>
    <n v="3"/>
    <x v="0"/>
    <n v="0"/>
  </r>
  <r>
    <d v="2024-08-26T00:00:00"/>
    <x v="0"/>
    <x v="4"/>
    <x v="16"/>
    <n v="188.45"/>
    <s v="Store C"/>
    <x v="0"/>
    <n v="0.05"/>
    <x v="1"/>
    <n v="1074.165"/>
    <x v="1"/>
    <m/>
    <n v="0"/>
    <s v="REG100102"/>
    <x v="102"/>
    <n v="6.77"/>
    <x v="98"/>
    <d v="2024-09-01T00:00:00"/>
    <x v="0"/>
    <n v="1130.6999999999998"/>
    <n v="56.534999999999997"/>
    <n v="1074.1649999999997"/>
    <n v="6"/>
    <x v="75"/>
    <n v="0"/>
  </r>
  <r>
    <d v="2024-07-07T00:00:00"/>
    <x v="2"/>
    <x v="2"/>
    <x v="5"/>
    <n v="566.20000000000005"/>
    <s v="Store D"/>
    <x v="1"/>
    <n v="0"/>
    <x v="5"/>
    <n v="1698.6"/>
    <x v="1"/>
    <s v="FREESHIP"/>
    <n v="1"/>
    <s v="REG100103"/>
    <x v="103"/>
    <n v="28.97"/>
    <x v="99"/>
    <d v="2024-07-17T00:00:00"/>
    <x v="2"/>
    <n v="1698.6000000000001"/>
    <n v="0"/>
    <n v="1698.6000000000001"/>
    <n v="10"/>
    <x v="0"/>
    <n v="0"/>
  </r>
  <r>
    <d v="2023-09-29T00:00:00"/>
    <x v="0"/>
    <x v="4"/>
    <x v="0"/>
    <n v="167.09"/>
    <s v="Store D"/>
    <x v="1"/>
    <n v="0.05"/>
    <x v="1"/>
    <n v="2222.297"/>
    <x v="1"/>
    <s v="SAVE10"/>
    <n v="1"/>
    <s v="REG100104"/>
    <x v="104"/>
    <n v="47.05"/>
    <x v="100"/>
    <d v="2023-10-08T00:00:00"/>
    <x v="0"/>
    <n v="2339.2600000000002"/>
    <n v="116.96300000000002"/>
    <n v="2222.297"/>
    <n v="9"/>
    <x v="76"/>
    <n v="0"/>
  </r>
  <r>
    <d v="2023-10-04T00:00:00"/>
    <x v="4"/>
    <x v="4"/>
    <x v="18"/>
    <n v="36.159999999999997"/>
    <s v="Store C"/>
    <x v="0"/>
    <n v="0.1"/>
    <x v="3"/>
    <n v="520.70399999999995"/>
    <x v="3"/>
    <s v="FREESHIP"/>
    <n v="0"/>
    <s v="REG100105"/>
    <x v="105"/>
    <n v="26.64"/>
    <x v="101"/>
    <d v="2023-10-11T00:00:00"/>
    <x v="4"/>
    <n v="578.55999999999995"/>
    <n v="57.855999999999995"/>
    <n v="520.70399999999995"/>
    <n v="7"/>
    <x v="77"/>
    <n v="0"/>
  </r>
  <r>
    <d v="2025-06-09T00:00:00"/>
    <x v="3"/>
    <x v="6"/>
    <x v="3"/>
    <n v="73.94"/>
    <s v="Store B"/>
    <x v="0"/>
    <n v="0.05"/>
    <x v="3"/>
    <n v="140.48599999999999"/>
    <x v="3"/>
    <s v="SAVE10"/>
    <n v="0"/>
    <s v="REG100106"/>
    <x v="106"/>
    <n v="28.05"/>
    <x v="102"/>
    <d v="2025-06-16T00:00:00"/>
    <x v="3"/>
    <n v="147.88"/>
    <n v="7.3940000000000001"/>
    <n v="140.48599999999999"/>
    <n v="7"/>
    <x v="78"/>
    <n v="0"/>
  </r>
  <r>
    <d v="2025-06-12T00:00:00"/>
    <x v="0"/>
    <x v="6"/>
    <x v="18"/>
    <n v="459.49"/>
    <s v="Store A"/>
    <x v="0"/>
    <n v="0.1"/>
    <x v="0"/>
    <n v="6616.6559999999999"/>
    <x v="0"/>
    <s v="SAVE10"/>
    <n v="0"/>
    <s v="REG100107"/>
    <x v="107"/>
    <n v="26.99"/>
    <x v="103"/>
    <d v="2025-06-14T00:00:00"/>
    <x v="0"/>
    <n v="7351.84"/>
    <n v="735.18400000000008"/>
    <n v="6616.6559999999999"/>
    <n v="2"/>
    <x v="79"/>
    <n v="0"/>
  </r>
  <r>
    <d v="2024-06-29T00:00:00"/>
    <x v="0"/>
    <x v="3"/>
    <x v="5"/>
    <n v="168.05"/>
    <s v="Store A"/>
    <x v="1"/>
    <n v="0"/>
    <x v="3"/>
    <n v="504.15"/>
    <x v="4"/>
    <m/>
    <n v="1"/>
    <s v="REG100108"/>
    <x v="108"/>
    <n v="21.08"/>
    <x v="104"/>
    <d v="2024-07-06T00:00:00"/>
    <x v="0"/>
    <n v="504.15000000000003"/>
    <n v="0"/>
    <n v="504.15000000000003"/>
    <n v="7"/>
    <x v="0"/>
    <n v="0"/>
  </r>
  <r>
    <d v="2024-03-23T00:00:00"/>
    <x v="2"/>
    <x v="6"/>
    <x v="0"/>
    <n v="37.54"/>
    <s v="Store B"/>
    <x v="1"/>
    <n v="0.15"/>
    <x v="1"/>
    <n v="446.72599999999989"/>
    <x v="2"/>
    <m/>
    <n v="1"/>
    <s v="REG100109"/>
    <x v="109"/>
    <n v="49.6"/>
    <x v="105"/>
    <d v="2024-04-02T00:00:00"/>
    <x v="2"/>
    <n v="525.55999999999995"/>
    <n v="78.833999999999989"/>
    <n v="446.72599999999994"/>
    <n v="10"/>
    <x v="80"/>
    <n v="0"/>
  </r>
  <r>
    <d v="2024-07-14T00:00:00"/>
    <x v="1"/>
    <x v="5"/>
    <x v="15"/>
    <n v="151.16"/>
    <s v="Store B"/>
    <x v="0"/>
    <n v="0"/>
    <x v="1"/>
    <n v="604.64"/>
    <x v="1"/>
    <s v="SAVE10"/>
    <n v="1"/>
    <s v="REG100110"/>
    <x v="110"/>
    <n v="41.4"/>
    <x v="106"/>
    <d v="2024-07-21T00:00:00"/>
    <x v="1"/>
    <n v="604.64"/>
    <n v="0"/>
    <n v="604.64"/>
    <n v="7"/>
    <x v="0"/>
    <n v="0"/>
  </r>
  <r>
    <d v="2024-03-15T00:00:00"/>
    <x v="1"/>
    <x v="5"/>
    <x v="9"/>
    <n v="78.58"/>
    <s v="Store A"/>
    <x v="0"/>
    <n v="0.1"/>
    <x v="5"/>
    <n v="1202.2739999999999"/>
    <x v="1"/>
    <s v="WINTER15"/>
    <n v="0"/>
    <s v="REG100111"/>
    <x v="111"/>
    <n v="8.02"/>
    <x v="107"/>
    <d v="2024-03-25T00:00:00"/>
    <x v="1"/>
    <n v="1335.86"/>
    <n v="133.58599999999998"/>
    <n v="1202.2739999999999"/>
    <n v="10"/>
    <x v="81"/>
    <n v="0"/>
  </r>
  <r>
    <d v="2025-04-19T00:00:00"/>
    <x v="3"/>
    <x v="3"/>
    <x v="7"/>
    <n v="37.33"/>
    <s v="Store B"/>
    <x v="1"/>
    <n v="0.05"/>
    <x v="3"/>
    <n v="531.95249999999987"/>
    <x v="4"/>
    <m/>
    <n v="1"/>
    <s v="REG100112"/>
    <x v="112"/>
    <n v="43.69"/>
    <x v="108"/>
    <d v="2025-04-24T00:00:00"/>
    <x v="3"/>
    <n v="559.94999999999993"/>
    <n v="27.997499999999999"/>
    <n v="531.95249999999999"/>
    <n v="5"/>
    <x v="82"/>
    <n v="0"/>
  </r>
  <r>
    <d v="2024-02-15T00:00:00"/>
    <x v="4"/>
    <x v="5"/>
    <x v="2"/>
    <n v="537.02"/>
    <s v="Store A"/>
    <x v="0"/>
    <n v="0.15"/>
    <x v="3"/>
    <n v="8216.4060000000009"/>
    <x v="3"/>
    <s v="SAVE10"/>
    <n v="0"/>
    <s v="REG100113"/>
    <x v="113"/>
    <n v="23.94"/>
    <x v="37"/>
    <d v="2024-02-20T00:00:00"/>
    <x v="4"/>
    <n v="9666.36"/>
    <n v="1449.954"/>
    <n v="8216.4060000000009"/>
    <n v="5"/>
    <x v="83"/>
    <n v="0"/>
  </r>
  <r>
    <d v="2024-01-25T00:00:00"/>
    <x v="0"/>
    <x v="2"/>
    <x v="6"/>
    <n v="215.6"/>
    <s v="Store C"/>
    <x v="0"/>
    <n v="0"/>
    <x v="2"/>
    <n v="1078"/>
    <x v="0"/>
    <s v="WINTER15"/>
    <n v="0"/>
    <s v="REG100114"/>
    <x v="114"/>
    <n v="28.36"/>
    <x v="109"/>
    <d v="2024-02-04T00:00:00"/>
    <x v="0"/>
    <n v="1078"/>
    <n v="0"/>
    <n v="1078"/>
    <n v="10"/>
    <x v="0"/>
    <n v="0"/>
  </r>
  <r>
    <d v="2025-04-15T00:00:00"/>
    <x v="3"/>
    <x v="0"/>
    <x v="2"/>
    <n v="209.5"/>
    <s v="Store D"/>
    <x v="0"/>
    <n v="0"/>
    <x v="3"/>
    <n v="3771"/>
    <x v="2"/>
    <s v="FREESHIP"/>
    <n v="0"/>
    <s v="REG100115"/>
    <x v="115"/>
    <n v="38.229999999999997"/>
    <x v="110"/>
    <d v="2025-04-23T00:00:00"/>
    <x v="3"/>
    <n v="3771"/>
    <n v="0"/>
    <n v="3771"/>
    <n v="8"/>
    <x v="0"/>
    <n v="0"/>
  </r>
  <r>
    <d v="2025-04-15T00:00:00"/>
    <x v="3"/>
    <x v="3"/>
    <x v="19"/>
    <n v="348.98"/>
    <s v="Store A"/>
    <x v="1"/>
    <n v="0.1"/>
    <x v="2"/>
    <n v="2512.6559999999999"/>
    <x v="0"/>
    <s v="FREESHIP"/>
    <n v="0"/>
    <s v="REG100116"/>
    <x v="116"/>
    <n v="19.170000000000002"/>
    <x v="110"/>
    <d v="2025-04-20T00:00:00"/>
    <x v="3"/>
    <n v="2791.84"/>
    <n v="279.18400000000003"/>
    <n v="2512.6559999999999"/>
    <n v="5"/>
    <x v="84"/>
    <n v="0"/>
  </r>
  <r>
    <d v="2024-08-11T00:00:00"/>
    <x v="4"/>
    <x v="6"/>
    <x v="3"/>
    <n v="289.14"/>
    <s v="Store C"/>
    <x v="1"/>
    <n v="0.05"/>
    <x v="4"/>
    <n v="549.36599999999999"/>
    <x v="0"/>
    <s v="SAVE10"/>
    <n v="0"/>
    <s v="REG100117"/>
    <x v="117"/>
    <n v="5.13"/>
    <x v="111"/>
    <d v="2024-08-13T00:00:00"/>
    <x v="4"/>
    <n v="578.28"/>
    <n v="28.914000000000001"/>
    <n v="549.36599999999999"/>
    <n v="2"/>
    <x v="85"/>
    <n v="0"/>
  </r>
  <r>
    <d v="2023-12-01T00:00:00"/>
    <x v="1"/>
    <x v="2"/>
    <x v="6"/>
    <n v="396.93"/>
    <s v="Store B"/>
    <x v="0"/>
    <n v="0"/>
    <x v="4"/>
    <n v="1984.65"/>
    <x v="2"/>
    <s v="FREESHIP"/>
    <n v="0"/>
    <s v="REG100118"/>
    <x v="118"/>
    <n v="48.63"/>
    <x v="112"/>
    <d v="2023-12-08T00:00:00"/>
    <x v="1"/>
    <n v="1984.65"/>
    <n v="0"/>
    <n v="1984.65"/>
    <n v="7"/>
    <x v="0"/>
    <n v="0"/>
  </r>
  <r>
    <d v="2023-08-06T00:00:00"/>
    <x v="3"/>
    <x v="0"/>
    <x v="12"/>
    <n v="508.57"/>
    <s v="Store D"/>
    <x v="1"/>
    <n v="0.05"/>
    <x v="5"/>
    <n v="4831.415"/>
    <x v="0"/>
    <s v="SAVE10"/>
    <n v="0"/>
    <s v="REG100119"/>
    <x v="119"/>
    <n v="9.35"/>
    <x v="23"/>
    <d v="2023-08-11T00:00:00"/>
    <x v="3"/>
    <n v="5085.7"/>
    <n v="254.285"/>
    <n v="4831.415"/>
    <n v="5"/>
    <x v="86"/>
    <n v="0"/>
  </r>
  <r>
    <d v="2024-01-24T00:00:00"/>
    <x v="3"/>
    <x v="0"/>
    <x v="10"/>
    <n v="259.61"/>
    <s v="Store C"/>
    <x v="0"/>
    <n v="0.1"/>
    <x v="3"/>
    <n v="2570.1390000000001"/>
    <x v="4"/>
    <s v="FREESHIP"/>
    <n v="0"/>
    <s v="REG100120"/>
    <x v="120"/>
    <n v="13.73"/>
    <x v="113"/>
    <d v="2024-01-31T00:00:00"/>
    <x v="3"/>
    <n v="2855.71"/>
    <n v="285.57100000000003"/>
    <n v="2570.1390000000001"/>
    <n v="7"/>
    <x v="87"/>
    <n v="0"/>
  </r>
  <r>
    <d v="2024-03-07T00:00:00"/>
    <x v="3"/>
    <x v="3"/>
    <x v="17"/>
    <n v="313.29000000000002"/>
    <s v="Store D"/>
    <x v="1"/>
    <n v="0"/>
    <x v="3"/>
    <n v="2819.61"/>
    <x v="0"/>
    <s v="FREESHIP"/>
    <n v="0"/>
    <s v="REG100121"/>
    <x v="121"/>
    <n v="14.04"/>
    <x v="114"/>
    <d v="2024-03-13T00:00:00"/>
    <x v="3"/>
    <n v="2819.61"/>
    <n v="0"/>
    <n v="2819.61"/>
    <n v="6"/>
    <x v="0"/>
    <n v="0"/>
  </r>
  <r>
    <d v="2024-01-22T00:00:00"/>
    <x v="1"/>
    <x v="5"/>
    <x v="6"/>
    <n v="106.57"/>
    <s v="Store C"/>
    <x v="0"/>
    <n v="0.1"/>
    <x v="3"/>
    <n v="479.56499999999988"/>
    <x v="3"/>
    <s v="SAVE10"/>
    <n v="1"/>
    <s v="REG100122"/>
    <x v="122"/>
    <n v="25.24"/>
    <x v="115"/>
    <d v="2024-01-28T00:00:00"/>
    <x v="1"/>
    <n v="532.84999999999991"/>
    <n v="53.284999999999997"/>
    <n v="479.56499999999994"/>
    <n v="6"/>
    <x v="88"/>
    <n v="0"/>
  </r>
  <r>
    <d v="2023-02-23T00:00:00"/>
    <x v="0"/>
    <x v="6"/>
    <x v="1"/>
    <n v="109"/>
    <s v="Store B"/>
    <x v="1"/>
    <n v="0.15"/>
    <x v="2"/>
    <n v="92.649999999999991"/>
    <x v="4"/>
    <s v="WINTER15"/>
    <n v="1"/>
    <s v="REG100123"/>
    <x v="123"/>
    <n v="8.0299999999999994"/>
    <x v="0"/>
    <d v="2023-02-27T00:00:00"/>
    <x v="0"/>
    <n v="109"/>
    <n v="16.349999999999998"/>
    <n v="92.65"/>
    <n v="4"/>
    <x v="89"/>
    <n v="0"/>
  </r>
  <r>
    <d v="2023-06-14T00:00:00"/>
    <x v="2"/>
    <x v="5"/>
    <x v="19"/>
    <n v="323.8"/>
    <s v="Store B"/>
    <x v="1"/>
    <n v="0"/>
    <x v="4"/>
    <n v="2590.4"/>
    <x v="4"/>
    <s v="SAVE10"/>
    <n v="1"/>
    <s v="REG100124"/>
    <x v="124"/>
    <n v="35.229999999999997"/>
    <x v="116"/>
    <d v="2023-06-22T00:00:00"/>
    <x v="2"/>
    <n v="2590.4"/>
    <n v="0"/>
    <n v="2590.4"/>
    <n v="8"/>
    <x v="0"/>
    <n v="0"/>
  </r>
  <r>
    <d v="2025-05-13T00:00:00"/>
    <x v="2"/>
    <x v="0"/>
    <x v="18"/>
    <n v="384.32"/>
    <s v="Store A"/>
    <x v="1"/>
    <n v="0.05"/>
    <x v="2"/>
    <n v="5841.6639999999998"/>
    <x v="4"/>
    <s v="FREESHIP"/>
    <n v="0"/>
    <s v="REG100125"/>
    <x v="125"/>
    <n v="21.5"/>
    <x v="92"/>
    <d v="2025-05-15T00:00:00"/>
    <x v="2"/>
    <n v="6149.12"/>
    <n v="307.45600000000002"/>
    <n v="5841.6639999999998"/>
    <n v="2"/>
    <x v="90"/>
    <n v="0"/>
  </r>
  <r>
    <d v="2024-07-30T00:00:00"/>
    <x v="3"/>
    <x v="6"/>
    <x v="18"/>
    <n v="163.86"/>
    <s v="Store C"/>
    <x v="1"/>
    <n v="0.15"/>
    <x v="4"/>
    <n v="2228.4960000000001"/>
    <x v="1"/>
    <s v="FREESHIP"/>
    <n v="0"/>
    <s v="REG100126"/>
    <x v="126"/>
    <n v="37.950000000000003"/>
    <x v="117"/>
    <d v="2024-08-06T00:00:00"/>
    <x v="3"/>
    <n v="2621.76"/>
    <n v="393.26400000000001"/>
    <n v="2228.4960000000001"/>
    <n v="7"/>
    <x v="91"/>
    <n v="0"/>
  </r>
  <r>
    <d v="2024-07-18T00:00:00"/>
    <x v="0"/>
    <x v="5"/>
    <x v="6"/>
    <n v="23.41"/>
    <s v="Store B"/>
    <x v="0"/>
    <n v="0"/>
    <x v="2"/>
    <n v="117.05"/>
    <x v="2"/>
    <s v="WINTER15"/>
    <n v="0"/>
    <s v="REG100127"/>
    <x v="127"/>
    <n v="26.44"/>
    <x v="118"/>
    <d v="2024-07-27T00:00:00"/>
    <x v="0"/>
    <n v="117.05"/>
    <n v="0"/>
    <n v="117.05"/>
    <n v="9"/>
    <x v="0"/>
    <n v="0"/>
  </r>
  <r>
    <d v="2024-08-26T00:00:00"/>
    <x v="0"/>
    <x v="6"/>
    <x v="11"/>
    <n v="488.9"/>
    <s v="Store C"/>
    <x v="0"/>
    <n v="0.15"/>
    <x v="0"/>
    <n v="8311.2999999999993"/>
    <x v="1"/>
    <s v="FREESHIP"/>
    <n v="0"/>
    <s v="REG100128"/>
    <x v="128"/>
    <n v="21.77"/>
    <x v="98"/>
    <d v="2024-09-01T00:00:00"/>
    <x v="0"/>
    <n v="9778"/>
    <n v="1466.7"/>
    <n v="8311.2999999999993"/>
    <n v="6"/>
    <x v="92"/>
    <n v="0"/>
  </r>
  <r>
    <d v="2025-06-08T00:00:00"/>
    <x v="4"/>
    <x v="5"/>
    <x v="4"/>
    <n v="452.56"/>
    <s v="Store A"/>
    <x v="0"/>
    <n v="0.05"/>
    <x v="2"/>
    <n v="3009.5239999999999"/>
    <x v="1"/>
    <s v="FREESHIP"/>
    <n v="0"/>
    <s v="REG100129"/>
    <x v="129"/>
    <n v="46.97"/>
    <x v="119"/>
    <d v="2025-06-15T00:00:00"/>
    <x v="4"/>
    <n v="3167.92"/>
    <n v="158.39600000000002"/>
    <n v="3009.5239999999999"/>
    <n v="7"/>
    <x v="93"/>
    <n v="0"/>
  </r>
  <r>
    <d v="2025-05-16T00:00:00"/>
    <x v="2"/>
    <x v="2"/>
    <x v="10"/>
    <n v="465.24"/>
    <s v="Store A"/>
    <x v="0"/>
    <n v="0"/>
    <x v="3"/>
    <n v="5117.6400000000003"/>
    <x v="3"/>
    <m/>
    <n v="1"/>
    <s v="REG100130"/>
    <x v="130"/>
    <n v="17.59"/>
    <x v="120"/>
    <d v="2025-05-23T00:00:00"/>
    <x v="2"/>
    <n v="5117.6400000000003"/>
    <n v="0"/>
    <n v="5117.6400000000003"/>
    <n v="7"/>
    <x v="0"/>
    <n v="0"/>
  </r>
  <r>
    <d v="2024-07-18T00:00:00"/>
    <x v="0"/>
    <x v="1"/>
    <x v="0"/>
    <n v="442.65"/>
    <s v="Store B"/>
    <x v="1"/>
    <n v="0"/>
    <x v="0"/>
    <n v="6197.0999999999995"/>
    <x v="1"/>
    <s v="SAVE10"/>
    <n v="0"/>
    <s v="REG100131"/>
    <x v="131"/>
    <n v="28.76"/>
    <x v="118"/>
    <d v="2024-07-24T00:00:00"/>
    <x v="0"/>
    <n v="6197.0999999999995"/>
    <n v="0"/>
    <n v="6197.0999999999995"/>
    <n v="6"/>
    <x v="0"/>
    <n v="0"/>
  </r>
  <r>
    <d v="2023-09-17T00:00:00"/>
    <x v="4"/>
    <x v="0"/>
    <x v="13"/>
    <n v="469.44"/>
    <s v="Store B"/>
    <x v="0"/>
    <n v="0"/>
    <x v="5"/>
    <n v="5633.28"/>
    <x v="0"/>
    <s v="FREESHIP"/>
    <n v="0"/>
    <s v="REG100132"/>
    <x v="132"/>
    <n v="33.299999999999997"/>
    <x v="121"/>
    <d v="2023-09-26T00:00:00"/>
    <x v="4"/>
    <n v="5633.28"/>
    <n v="0"/>
    <n v="5633.28"/>
    <n v="9"/>
    <x v="0"/>
    <n v="0"/>
  </r>
  <r>
    <d v="2023-03-13T00:00:00"/>
    <x v="0"/>
    <x v="4"/>
    <x v="0"/>
    <n v="248.77"/>
    <s v="Store C"/>
    <x v="0"/>
    <n v="0.05"/>
    <x v="5"/>
    <n v="3308.6410000000001"/>
    <x v="3"/>
    <s v="FREESHIP"/>
    <n v="1"/>
    <s v="REG100133"/>
    <x v="133"/>
    <n v="21.76"/>
    <x v="122"/>
    <d v="2023-03-19T00:00:00"/>
    <x v="0"/>
    <n v="3482.78"/>
    <n v="174.13900000000001"/>
    <n v="3308.6410000000001"/>
    <n v="6"/>
    <x v="94"/>
    <n v="0"/>
  </r>
  <r>
    <d v="2023-03-29T00:00:00"/>
    <x v="1"/>
    <x v="3"/>
    <x v="15"/>
    <n v="565.29"/>
    <s v="Store D"/>
    <x v="0"/>
    <n v="0.05"/>
    <x v="1"/>
    <n v="2148.1019999999999"/>
    <x v="4"/>
    <m/>
    <n v="0"/>
    <s v="REG100134"/>
    <x v="134"/>
    <n v="27.04"/>
    <x v="88"/>
    <d v="2023-04-03T00:00:00"/>
    <x v="1"/>
    <n v="2261.16"/>
    <n v="113.05799999999999"/>
    <n v="2148.1019999999999"/>
    <n v="5"/>
    <x v="95"/>
    <n v="0"/>
  </r>
  <r>
    <d v="2023-07-14T00:00:00"/>
    <x v="3"/>
    <x v="2"/>
    <x v="13"/>
    <n v="244.8"/>
    <s v="Store B"/>
    <x v="0"/>
    <n v="0.05"/>
    <x v="2"/>
    <n v="2790.72"/>
    <x v="0"/>
    <s v="FREESHIP"/>
    <n v="0"/>
    <s v="REG100135"/>
    <x v="135"/>
    <n v="44.75"/>
    <x v="123"/>
    <d v="2023-07-23T00:00:00"/>
    <x v="3"/>
    <n v="2937.6000000000004"/>
    <n v="146.88000000000002"/>
    <n v="2790.7200000000003"/>
    <n v="9"/>
    <x v="96"/>
    <n v="0"/>
  </r>
  <r>
    <d v="2024-03-22T00:00:00"/>
    <x v="4"/>
    <x v="0"/>
    <x v="14"/>
    <n v="290.93"/>
    <s v="Store C"/>
    <x v="1"/>
    <n v="0.05"/>
    <x v="4"/>
    <n v="3592.9854999999998"/>
    <x v="2"/>
    <s v="FREESHIP"/>
    <n v="0"/>
    <s v="REG100136"/>
    <x v="136"/>
    <n v="26.09"/>
    <x v="124"/>
    <d v="2024-03-31T00:00:00"/>
    <x v="4"/>
    <n v="3782.09"/>
    <n v="189.10450000000003"/>
    <n v="3592.9855000000002"/>
    <n v="9"/>
    <x v="97"/>
    <n v="0"/>
  </r>
  <r>
    <d v="2024-05-14T00:00:00"/>
    <x v="3"/>
    <x v="0"/>
    <x v="10"/>
    <n v="229.49"/>
    <s v="Store C"/>
    <x v="1"/>
    <n v="0.1"/>
    <x v="5"/>
    <n v="2271.951"/>
    <x v="4"/>
    <m/>
    <n v="0"/>
    <s v="REG100137"/>
    <x v="137"/>
    <n v="35.39"/>
    <x v="125"/>
    <d v="2024-05-17T00:00:00"/>
    <x v="3"/>
    <n v="2524.3900000000003"/>
    <n v="252.43900000000005"/>
    <n v="2271.9510000000005"/>
    <n v="3"/>
    <x v="98"/>
    <n v="0"/>
  </r>
  <r>
    <d v="2023-05-30T00:00:00"/>
    <x v="3"/>
    <x v="4"/>
    <x v="3"/>
    <n v="427.36"/>
    <s v="Store A"/>
    <x v="0"/>
    <n v="0.05"/>
    <x v="4"/>
    <n v="811.98400000000004"/>
    <x v="0"/>
    <s v="SAVE10"/>
    <n v="0"/>
    <s v="REG100138"/>
    <x v="138"/>
    <n v="19.420000000000002"/>
    <x v="126"/>
    <d v="2023-06-02T00:00:00"/>
    <x v="3"/>
    <n v="854.72"/>
    <n v="42.736000000000004"/>
    <n v="811.98400000000004"/>
    <n v="3"/>
    <x v="99"/>
    <n v="0"/>
  </r>
  <r>
    <d v="2023-03-19T00:00:00"/>
    <x v="2"/>
    <x v="1"/>
    <x v="3"/>
    <n v="443.51"/>
    <s v="Store C"/>
    <x v="0"/>
    <n v="0.05"/>
    <x v="1"/>
    <n v="842.66899999999998"/>
    <x v="4"/>
    <m/>
    <n v="0"/>
    <s v="REG100139"/>
    <x v="139"/>
    <n v="13.65"/>
    <x v="127"/>
    <d v="2023-03-22T00:00:00"/>
    <x v="2"/>
    <n v="887.02"/>
    <n v="44.350999999999999"/>
    <n v="842.66899999999998"/>
    <n v="3"/>
    <x v="100"/>
    <n v="0"/>
  </r>
  <r>
    <d v="2023-08-09T00:00:00"/>
    <x v="3"/>
    <x v="2"/>
    <x v="14"/>
    <n v="280.63"/>
    <s v="Store B"/>
    <x v="0"/>
    <n v="0.15"/>
    <x v="1"/>
    <n v="3100.9614999999999"/>
    <x v="2"/>
    <s v="SAVE10"/>
    <n v="0"/>
    <s v="REG100140"/>
    <x v="140"/>
    <n v="10.14"/>
    <x v="128"/>
    <d v="2023-08-14T00:00:00"/>
    <x v="3"/>
    <n v="3648.19"/>
    <n v="547.22849999999994"/>
    <n v="3100.9615000000003"/>
    <n v="5"/>
    <x v="101"/>
    <n v="0"/>
  </r>
  <r>
    <d v="2024-10-13T00:00:00"/>
    <x v="2"/>
    <x v="3"/>
    <x v="14"/>
    <n v="416.66"/>
    <s v="Store B"/>
    <x v="0"/>
    <n v="0.15"/>
    <x v="5"/>
    <n v="4604.0929999999998"/>
    <x v="2"/>
    <s v="WINTER15"/>
    <n v="0"/>
    <s v="REG100141"/>
    <x v="141"/>
    <n v="21.74"/>
    <x v="129"/>
    <d v="2024-10-20T00:00:00"/>
    <x v="2"/>
    <n v="5416.58"/>
    <n v="812.48699999999997"/>
    <n v="4604.0929999999998"/>
    <n v="7"/>
    <x v="102"/>
    <n v="0"/>
  </r>
  <r>
    <d v="2025-02-17T00:00:00"/>
    <x v="0"/>
    <x v="3"/>
    <x v="10"/>
    <n v="589.48"/>
    <s v="Store B"/>
    <x v="1"/>
    <n v="0"/>
    <x v="1"/>
    <n v="6484.2800000000007"/>
    <x v="0"/>
    <s v="WINTER15"/>
    <n v="0"/>
    <s v="REG100142"/>
    <x v="142"/>
    <n v="49.93"/>
    <x v="130"/>
    <d v="2025-02-25T00:00:00"/>
    <x v="0"/>
    <n v="6484.2800000000007"/>
    <n v="0"/>
    <n v="6484.2800000000007"/>
    <n v="8"/>
    <x v="0"/>
    <n v="0"/>
  </r>
  <r>
    <d v="2025-06-11T00:00:00"/>
    <x v="2"/>
    <x v="1"/>
    <x v="2"/>
    <n v="152.84"/>
    <s v="Store C"/>
    <x v="1"/>
    <n v="0.15"/>
    <x v="4"/>
    <n v="2338.4520000000002"/>
    <x v="3"/>
    <s v="FREESHIP"/>
    <n v="1"/>
    <s v="REG100143"/>
    <x v="143"/>
    <n v="20.3"/>
    <x v="54"/>
    <d v="2025-06-20T00:00:00"/>
    <x v="2"/>
    <n v="2751.12"/>
    <n v="412.66799999999995"/>
    <n v="2338.4519999999998"/>
    <n v="9"/>
    <x v="103"/>
    <n v="0"/>
  </r>
  <r>
    <d v="2024-04-29T00:00:00"/>
    <x v="3"/>
    <x v="5"/>
    <x v="15"/>
    <n v="163.66"/>
    <s v="Store B"/>
    <x v="1"/>
    <n v="0"/>
    <x v="5"/>
    <n v="654.64"/>
    <x v="1"/>
    <s v="WINTER15"/>
    <n v="1"/>
    <s v="REG100144"/>
    <x v="144"/>
    <n v="31.8"/>
    <x v="131"/>
    <d v="2024-05-01T00:00:00"/>
    <x v="3"/>
    <n v="654.64"/>
    <n v="0"/>
    <n v="654.64"/>
    <n v="2"/>
    <x v="0"/>
    <n v="0"/>
  </r>
  <r>
    <d v="2023-03-18T00:00:00"/>
    <x v="4"/>
    <x v="0"/>
    <x v="8"/>
    <n v="484.25"/>
    <s v="Store C"/>
    <x v="0"/>
    <n v="0.15"/>
    <x v="5"/>
    <n v="7820.6374999999998"/>
    <x v="3"/>
    <s v="FREESHIP"/>
    <n v="1"/>
    <s v="REG100145"/>
    <x v="145"/>
    <n v="29.51"/>
    <x v="132"/>
    <d v="2023-03-20T00:00:00"/>
    <x v="4"/>
    <n v="9200.75"/>
    <n v="1380.1125"/>
    <n v="7820.6374999999998"/>
    <n v="2"/>
    <x v="104"/>
    <n v="0"/>
  </r>
  <r>
    <d v="2024-12-21T00:00:00"/>
    <x v="2"/>
    <x v="3"/>
    <x v="17"/>
    <n v="380.4"/>
    <s v="Store B"/>
    <x v="1"/>
    <n v="0.1"/>
    <x v="3"/>
    <n v="3081.24"/>
    <x v="2"/>
    <m/>
    <n v="0"/>
    <s v="REG100146"/>
    <x v="146"/>
    <n v="31"/>
    <x v="133"/>
    <d v="2024-12-27T00:00:00"/>
    <x v="2"/>
    <n v="3423.6"/>
    <n v="342.36"/>
    <n v="3081.24"/>
    <n v="6"/>
    <x v="105"/>
    <n v="0"/>
  </r>
  <r>
    <d v="2023-04-23T00:00:00"/>
    <x v="4"/>
    <x v="3"/>
    <x v="9"/>
    <n v="332.38"/>
    <s v="Store A"/>
    <x v="1"/>
    <n v="0.1"/>
    <x v="2"/>
    <n v="5085.4139999999998"/>
    <x v="2"/>
    <s v="SAVE10"/>
    <n v="1"/>
    <s v="REG100147"/>
    <x v="147"/>
    <n v="33.81"/>
    <x v="134"/>
    <d v="2023-05-02T00:00:00"/>
    <x v="4"/>
    <n v="5650.46"/>
    <n v="565.04600000000005"/>
    <n v="5085.4139999999998"/>
    <n v="9"/>
    <x v="106"/>
    <n v="0"/>
  </r>
  <r>
    <d v="2025-05-11T00:00:00"/>
    <x v="3"/>
    <x v="3"/>
    <x v="7"/>
    <n v="210.94"/>
    <s v="Store C"/>
    <x v="0"/>
    <n v="0.05"/>
    <x v="2"/>
    <n v="3005.895"/>
    <x v="0"/>
    <s v="SAVE10"/>
    <n v="0"/>
    <s v="REG100148"/>
    <x v="148"/>
    <n v="10.91"/>
    <x v="15"/>
    <d v="2025-05-21T00:00:00"/>
    <x v="3"/>
    <n v="3164.1"/>
    <n v="158.20500000000001"/>
    <n v="3005.895"/>
    <n v="10"/>
    <x v="107"/>
    <n v="0"/>
  </r>
  <r>
    <d v="2024-03-03T00:00:00"/>
    <x v="1"/>
    <x v="1"/>
    <x v="17"/>
    <n v="382.8"/>
    <s v="Store D"/>
    <x v="0"/>
    <n v="0"/>
    <x v="0"/>
    <n v="3445.2"/>
    <x v="4"/>
    <m/>
    <n v="0"/>
    <s v="REG100149"/>
    <x v="149"/>
    <n v="47.94"/>
    <x v="69"/>
    <d v="2024-03-05T00:00:00"/>
    <x v="1"/>
    <n v="3445.2000000000003"/>
    <n v="0"/>
    <n v="3445.2000000000003"/>
    <n v="2"/>
    <x v="0"/>
    <n v="0"/>
  </r>
  <r>
    <d v="2025-01-20T00:00:00"/>
    <x v="2"/>
    <x v="4"/>
    <x v="5"/>
    <n v="386.29"/>
    <s v="Store C"/>
    <x v="1"/>
    <n v="0.15"/>
    <x v="3"/>
    <n v="985.03950000000009"/>
    <x v="2"/>
    <s v="FREESHIP"/>
    <n v="0"/>
    <s v="REG100150"/>
    <x v="150"/>
    <n v="32.450000000000003"/>
    <x v="135"/>
    <d v="2025-01-30T00:00:00"/>
    <x v="2"/>
    <n v="1158.8700000000001"/>
    <n v="173.8305"/>
    <n v="985.03950000000009"/>
    <n v="10"/>
    <x v="108"/>
    <n v="0"/>
  </r>
  <r>
    <d v="2025-03-22T00:00:00"/>
    <x v="2"/>
    <x v="5"/>
    <x v="6"/>
    <n v="225.99"/>
    <s v="Store C"/>
    <x v="1"/>
    <n v="0"/>
    <x v="0"/>
    <n v="1129.95"/>
    <x v="0"/>
    <s v="SAVE10"/>
    <n v="1"/>
    <s v="REG100151"/>
    <x v="151"/>
    <n v="10.88"/>
    <x v="61"/>
    <d v="2025-03-30T00:00:00"/>
    <x v="2"/>
    <n v="1129.95"/>
    <n v="0"/>
    <n v="1129.95"/>
    <n v="8"/>
    <x v="0"/>
    <n v="0"/>
  </r>
  <r>
    <d v="2025-03-28T00:00:00"/>
    <x v="1"/>
    <x v="6"/>
    <x v="11"/>
    <n v="312.56"/>
    <s v="Store D"/>
    <x v="1"/>
    <n v="0.15"/>
    <x v="2"/>
    <n v="5313.52"/>
    <x v="1"/>
    <s v="WINTER15"/>
    <n v="0"/>
    <s v="REG100152"/>
    <x v="4"/>
    <n v="47.39"/>
    <x v="136"/>
    <d v="2025-03-30T00:00:00"/>
    <x v="1"/>
    <n v="6251.2"/>
    <n v="937.68"/>
    <n v="5313.5199999999995"/>
    <n v="2"/>
    <x v="109"/>
    <n v="0"/>
  </r>
  <r>
    <d v="2025-02-17T00:00:00"/>
    <x v="2"/>
    <x v="1"/>
    <x v="14"/>
    <n v="433.77"/>
    <s v="Store C"/>
    <x v="0"/>
    <n v="0.05"/>
    <x v="2"/>
    <n v="5357.0595000000003"/>
    <x v="4"/>
    <s v="FREESHIP"/>
    <n v="0"/>
    <s v="REG100153"/>
    <x v="152"/>
    <n v="17.61"/>
    <x v="130"/>
    <d v="2025-02-21T00:00:00"/>
    <x v="2"/>
    <n v="5639.01"/>
    <n v="281.95050000000003"/>
    <n v="5357.0595000000003"/>
    <n v="4"/>
    <x v="110"/>
    <n v="0"/>
  </r>
  <r>
    <d v="2024-11-08T00:00:00"/>
    <x v="1"/>
    <x v="5"/>
    <x v="11"/>
    <n v="159.33000000000001"/>
    <s v="Store A"/>
    <x v="0"/>
    <n v="0"/>
    <x v="0"/>
    <n v="3186.6"/>
    <x v="0"/>
    <s v="FREESHIP"/>
    <n v="0"/>
    <s v="REG100154"/>
    <x v="153"/>
    <n v="26.32"/>
    <x v="137"/>
    <d v="2024-11-11T00:00:00"/>
    <x v="1"/>
    <n v="3186.6000000000004"/>
    <n v="0"/>
    <n v="3186.6000000000004"/>
    <n v="3"/>
    <x v="0"/>
    <n v="0"/>
  </r>
  <r>
    <d v="2024-03-17T00:00:00"/>
    <x v="1"/>
    <x v="1"/>
    <x v="2"/>
    <n v="32.229999999999997"/>
    <s v="Store B"/>
    <x v="1"/>
    <n v="0.05"/>
    <x v="5"/>
    <n v="551.13299999999992"/>
    <x v="2"/>
    <s v="FREESHIP"/>
    <n v="0"/>
    <s v="REG100155"/>
    <x v="154"/>
    <n v="6.04"/>
    <x v="138"/>
    <d v="2024-03-21T00:00:00"/>
    <x v="1"/>
    <n v="580.14"/>
    <n v="29.007000000000001"/>
    <n v="551.13300000000004"/>
    <n v="4"/>
    <x v="111"/>
    <n v="0"/>
  </r>
  <r>
    <d v="2023-08-29T00:00:00"/>
    <x v="1"/>
    <x v="4"/>
    <x v="5"/>
    <n v="527.77"/>
    <s v="Store C"/>
    <x v="1"/>
    <n v="0.1"/>
    <x v="5"/>
    <n v="1424.979"/>
    <x v="4"/>
    <s v="FREESHIP"/>
    <n v="0"/>
    <s v="REG100156"/>
    <x v="155"/>
    <n v="48.66"/>
    <x v="139"/>
    <d v="2023-09-01T00:00:00"/>
    <x v="1"/>
    <n v="1583.31"/>
    <n v="158.33100000000002"/>
    <n v="1424.9789999999998"/>
    <n v="3"/>
    <x v="112"/>
    <n v="0"/>
  </r>
  <r>
    <d v="2023-06-22T00:00:00"/>
    <x v="1"/>
    <x v="3"/>
    <x v="0"/>
    <n v="291.08999999999997"/>
    <s v="Store A"/>
    <x v="1"/>
    <n v="0"/>
    <x v="3"/>
    <n v="4075.26"/>
    <x v="4"/>
    <m/>
    <n v="0"/>
    <s v="REG100157"/>
    <x v="156"/>
    <n v="39.979999999999997"/>
    <x v="19"/>
    <d v="2023-06-30T00:00:00"/>
    <x v="1"/>
    <n v="4075.2599999999998"/>
    <n v="0"/>
    <n v="4075.2599999999998"/>
    <n v="8"/>
    <x v="0"/>
    <n v="0"/>
  </r>
  <r>
    <d v="2024-02-24T00:00:00"/>
    <x v="1"/>
    <x v="1"/>
    <x v="19"/>
    <n v="350.12"/>
    <s v="Store C"/>
    <x v="1"/>
    <n v="0"/>
    <x v="1"/>
    <n v="2800.96"/>
    <x v="1"/>
    <s v="FREESHIP"/>
    <n v="1"/>
    <s v="REG100158"/>
    <x v="157"/>
    <n v="31.65"/>
    <x v="62"/>
    <d v="2024-03-01T00:00:00"/>
    <x v="1"/>
    <n v="2800.96"/>
    <n v="0"/>
    <n v="2800.96"/>
    <n v="6"/>
    <x v="0"/>
    <n v="0"/>
  </r>
  <r>
    <d v="2024-04-10T00:00:00"/>
    <x v="2"/>
    <x v="1"/>
    <x v="12"/>
    <n v="195.26"/>
    <s v="Store D"/>
    <x v="1"/>
    <n v="0.05"/>
    <x v="1"/>
    <n v="1854.97"/>
    <x v="2"/>
    <s v="WINTER15"/>
    <n v="0"/>
    <s v="REG100159"/>
    <x v="158"/>
    <n v="46.91"/>
    <x v="10"/>
    <d v="2024-04-15T00:00:00"/>
    <x v="2"/>
    <n v="1952.6"/>
    <n v="97.63"/>
    <n v="1854.9699999999998"/>
    <n v="5"/>
    <x v="113"/>
    <n v="0"/>
  </r>
  <r>
    <d v="2023-05-14T00:00:00"/>
    <x v="1"/>
    <x v="4"/>
    <x v="14"/>
    <n v="291.10000000000002"/>
    <s v="Store A"/>
    <x v="0"/>
    <n v="0"/>
    <x v="1"/>
    <n v="3784.3"/>
    <x v="0"/>
    <s v="FREESHIP"/>
    <n v="0"/>
    <s v="REG100160"/>
    <x v="159"/>
    <n v="7.66"/>
    <x v="140"/>
    <d v="2023-05-19T00:00:00"/>
    <x v="1"/>
    <n v="3784.3"/>
    <n v="0"/>
    <n v="3784.3"/>
    <n v="5"/>
    <x v="0"/>
    <n v="0"/>
  </r>
  <r>
    <d v="2023-03-11T00:00:00"/>
    <x v="1"/>
    <x v="4"/>
    <x v="16"/>
    <n v="93.92"/>
    <s v="Store B"/>
    <x v="0"/>
    <n v="0.15"/>
    <x v="0"/>
    <n v="478.99200000000002"/>
    <x v="2"/>
    <s v="FREESHIP"/>
    <n v="0"/>
    <s v="REG100161"/>
    <x v="160"/>
    <n v="11"/>
    <x v="141"/>
    <d v="2023-03-18T00:00:00"/>
    <x v="1"/>
    <n v="563.52"/>
    <n v="84.527999999999992"/>
    <n v="478.99199999999996"/>
    <n v="7"/>
    <x v="114"/>
    <n v="0"/>
  </r>
  <r>
    <d v="2024-08-24T00:00:00"/>
    <x v="3"/>
    <x v="6"/>
    <x v="6"/>
    <n v="15.92"/>
    <s v="Store D"/>
    <x v="1"/>
    <n v="0"/>
    <x v="0"/>
    <n v="79.599999999999994"/>
    <x v="2"/>
    <m/>
    <n v="1"/>
    <s v="REG100162"/>
    <x v="161"/>
    <n v="8.66"/>
    <x v="142"/>
    <d v="2024-08-26T00:00:00"/>
    <x v="3"/>
    <n v="79.599999999999994"/>
    <n v="0"/>
    <n v="79.599999999999994"/>
    <n v="2"/>
    <x v="0"/>
    <n v="0"/>
  </r>
  <r>
    <d v="2024-02-23T00:00:00"/>
    <x v="1"/>
    <x v="4"/>
    <x v="18"/>
    <n v="120.22"/>
    <s v="Store D"/>
    <x v="1"/>
    <n v="0.15"/>
    <x v="5"/>
    <n v="1634.992"/>
    <x v="4"/>
    <s v="SAVE10"/>
    <n v="0"/>
    <s v="REG100163"/>
    <x v="162"/>
    <n v="8.42"/>
    <x v="143"/>
    <d v="2024-03-01T00:00:00"/>
    <x v="1"/>
    <n v="1923.52"/>
    <n v="288.52799999999996"/>
    <n v="1634.992"/>
    <n v="7"/>
    <x v="115"/>
    <n v="0"/>
  </r>
  <r>
    <d v="2024-01-30T00:00:00"/>
    <x v="2"/>
    <x v="4"/>
    <x v="10"/>
    <n v="118.8"/>
    <s v="Store A"/>
    <x v="1"/>
    <n v="0.05"/>
    <x v="0"/>
    <n v="1241.46"/>
    <x v="0"/>
    <s v="SAVE10"/>
    <n v="0"/>
    <s v="REG100164"/>
    <x v="163"/>
    <n v="39.32"/>
    <x v="144"/>
    <d v="2024-02-06T00:00:00"/>
    <x v="2"/>
    <n v="1306.8"/>
    <n v="65.34"/>
    <n v="1241.46"/>
    <n v="7"/>
    <x v="116"/>
    <n v="0"/>
  </r>
  <r>
    <d v="2024-01-23T00:00:00"/>
    <x v="0"/>
    <x v="5"/>
    <x v="12"/>
    <n v="92.45"/>
    <s v="Store C"/>
    <x v="0"/>
    <n v="0.1"/>
    <x v="2"/>
    <n v="832.05000000000007"/>
    <x v="4"/>
    <s v="WINTER15"/>
    <n v="1"/>
    <s v="REG100165"/>
    <x v="164"/>
    <n v="42.61"/>
    <x v="145"/>
    <d v="2024-01-29T00:00:00"/>
    <x v="0"/>
    <n v="924.5"/>
    <n v="92.45"/>
    <n v="832.05"/>
    <n v="6"/>
    <x v="117"/>
    <n v="0"/>
  </r>
  <r>
    <d v="2023-01-05T00:00:00"/>
    <x v="2"/>
    <x v="0"/>
    <x v="8"/>
    <n v="463.51"/>
    <s v="Store B"/>
    <x v="1"/>
    <n v="0"/>
    <x v="5"/>
    <n v="8806.69"/>
    <x v="4"/>
    <s v="FREESHIP"/>
    <n v="0"/>
    <s v="REG100166"/>
    <x v="165"/>
    <n v="49.38"/>
    <x v="82"/>
    <d v="2023-01-08T00:00:00"/>
    <x v="2"/>
    <n v="8806.69"/>
    <n v="0"/>
    <n v="8806.69"/>
    <n v="3"/>
    <x v="0"/>
    <n v="0"/>
  </r>
  <r>
    <d v="2023-12-21T00:00:00"/>
    <x v="2"/>
    <x v="2"/>
    <x v="4"/>
    <n v="284.7"/>
    <s v="Store D"/>
    <x v="0"/>
    <n v="0.05"/>
    <x v="5"/>
    <n v="1893.2550000000001"/>
    <x v="1"/>
    <m/>
    <n v="0"/>
    <s v="REG100167"/>
    <x v="166"/>
    <n v="5.36"/>
    <x v="146"/>
    <d v="2023-12-30T00:00:00"/>
    <x v="2"/>
    <n v="1992.8999999999999"/>
    <n v="99.644999999999996"/>
    <n v="1893.2549999999999"/>
    <n v="9"/>
    <x v="118"/>
    <n v="0"/>
  </r>
  <r>
    <d v="2023-05-25T00:00:00"/>
    <x v="4"/>
    <x v="0"/>
    <x v="11"/>
    <n v="343.25"/>
    <s v="Store C"/>
    <x v="0"/>
    <n v="0.05"/>
    <x v="1"/>
    <n v="6521.75"/>
    <x v="3"/>
    <s v="FREESHIP"/>
    <n v="0"/>
    <s v="REG100168"/>
    <x v="167"/>
    <n v="28.77"/>
    <x v="147"/>
    <d v="2023-06-02T00:00:00"/>
    <x v="4"/>
    <n v="6865"/>
    <n v="343.25"/>
    <n v="6521.75"/>
    <n v="8"/>
    <x v="119"/>
    <n v="0"/>
  </r>
  <r>
    <d v="2025-06-30T00:00:00"/>
    <x v="3"/>
    <x v="3"/>
    <x v="16"/>
    <n v="95.24"/>
    <s v="Store D"/>
    <x v="0"/>
    <n v="0.15"/>
    <x v="4"/>
    <n v="485.72399999999988"/>
    <x v="1"/>
    <s v="FREESHIP"/>
    <n v="0"/>
    <s v="REG100169"/>
    <x v="168"/>
    <n v="18.72"/>
    <x v="148"/>
    <d v="2025-07-08T00:00:00"/>
    <x v="3"/>
    <n v="571.43999999999994"/>
    <n v="85.715999999999994"/>
    <n v="485.72399999999993"/>
    <n v="8"/>
    <x v="120"/>
    <n v="0"/>
  </r>
  <r>
    <d v="2025-02-12T00:00:00"/>
    <x v="4"/>
    <x v="2"/>
    <x v="14"/>
    <n v="104.8"/>
    <s v="Store B"/>
    <x v="1"/>
    <n v="0.05"/>
    <x v="4"/>
    <n v="1294.28"/>
    <x v="2"/>
    <s v="WINTER15"/>
    <n v="0"/>
    <s v="REG100170"/>
    <x v="169"/>
    <n v="7.79"/>
    <x v="149"/>
    <d v="2025-02-19T00:00:00"/>
    <x v="4"/>
    <n v="1362.3999999999999"/>
    <n v="68.11999999999999"/>
    <n v="1294.28"/>
    <n v="7"/>
    <x v="121"/>
    <n v="0"/>
  </r>
  <r>
    <d v="2024-01-03T00:00:00"/>
    <x v="4"/>
    <x v="5"/>
    <x v="13"/>
    <n v="164.31"/>
    <s v="Store B"/>
    <x v="0"/>
    <n v="0.1"/>
    <x v="0"/>
    <n v="1774.548"/>
    <x v="4"/>
    <m/>
    <n v="1"/>
    <s v="REG100171"/>
    <x v="170"/>
    <n v="38.9"/>
    <x v="150"/>
    <d v="2024-01-07T00:00:00"/>
    <x v="4"/>
    <n v="1971.72"/>
    <n v="197.17200000000003"/>
    <n v="1774.548"/>
    <n v="4"/>
    <x v="122"/>
    <n v="0"/>
  </r>
  <r>
    <d v="2023-02-03T00:00:00"/>
    <x v="1"/>
    <x v="5"/>
    <x v="12"/>
    <n v="325.18"/>
    <s v="Store C"/>
    <x v="0"/>
    <n v="0.1"/>
    <x v="1"/>
    <n v="2926.62"/>
    <x v="4"/>
    <s v="WINTER15"/>
    <n v="0"/>
    <s v="REG100172"/>
    <x v="171"/>
    <n v="47.39"/>
    <x v="151"/>
    <d v="2023-02-13T00:00:00"/>
    <x v="1"/>
    <n v="3251.8"/>
    <n v="325.18000000000006"/>
    <n v="2926.62"/>
    <n v="10"/>
    <x v="123"/>
    <n v="0"/>
  </r>
  <r>
    <d v="2024-03-01T00:00:00"/>
    <x v="0"/>
    <x v="4"/>
    <x v="9"/>
    <n v="542.82000000000005"/>
    <s v="Store A"/>
    <x v="0"/>
    <n v="0"/>
    <x v="1"/>
    <n v="9227.94"/>
    <x v="3"/>
    <s v="WINTER15"/>
    <n v="1"/>
    <s v="REG100173"/>
    <x v="172"/>
    <n v="7.13"/>
    <x v="152"/>
    <d v="2024-03-08T00:00:00"/>
    <x v="0"/>
    <n v="9227.94"/>
    <n v="0"/>
    <n v="9227.94"/>
    <n v="7"/>
    <x v="0"/>
    <n v="0"/>
  </r>
  <r>
    <d v="2023-05-24T00:00:00"/>
    <x v="2"/>
    <x v="5"/>
    <x v="0"/>
    <n v="207.48"/>
    <s v="Store C"/>
    <x v="0"/>
    <n v="0.05"/>
    <x v="0"/>
    <n v="2759.483999999999"/>
    <x v="0"/>
    <m/>
    <n v="0"/>
    <s v="REG100174"/>
    <x v="173"/>
    <n v="5.7"/>
    <x v="56"/>
    <d v="2023-06-02T00:00:00"/>
    <x v="2"/>
    <n v="2904.72"/>
    <n v="145.23599999999999"/>
    <n v="2759.4839999999999"/>
    <n v="9"/>
    <x v="124"/>
    <n v="0"/>
  </r>
  <r>
    <d v="2025-06-22T00:00:00"/>
    <x v="2"/>
    <x v="6"/>
    <x v="9"/>
    <n v="527.88"/>
    <s v="Store D"/>
    <x v="1"/>
    <n v="0.05"/>
    <x v="5"/>
    <n v="8525.2619999999988"/>
    <x v="4"/>
    <s v="WINTER15"/>
    <n v="0"/>
    <s v="REG100175"/>
    <x v="174"/>
    <n v="21.32"/>
    <x v="153"/>
    <d v="2025-06-28T00:00:00"/>
    <x v="2"/>
    <n v="8973.9599999999991"/>
    <n v="448.69799999999998"/>
    <n v="8525.2619999999988"/>
    <n v="6"/>
    <x v="125"/>
    <n v="0"/>
  </r>
  <r>
    <d v="2023-04-10T00:00:00"/>
    <x v="2"/>
    <x v="3"/>
    <x v="10"/>
    <n v="71.209999999999994"/>
    <s v="Store B"/>
    <x v="1"/>
    <n v="0.05"/>
    <x v="4"/>
    <n v="744.14449999999988"/>
    <x v="0"/>
    <m/>
    <n v="1"/>
    <s v="REG100176"/>
    <x v="175"/>
    <n v="44.2"/>
    <x v="154"/>
    <d v="2023-04-14T00:00:00"/>
    <x v="2"/>
    <n v="783.31"/>
    <n v="39.165500000000002"/>
    <n v="744.14449999999999"/>
    <n v="4"/>
    <x v="126"/>
    <n v="0"/>
  </r>
  <r>
    <d v="2025-03-04T00:00:00"/>
    <x v="3"/>
    <x v="6"/>
    <x v="19"/>
    <n v="486.07"/>
    <s v="Store B"/>
    <x v="1"/>
    <n v="0"/>
    <x v="3"/>
    <n v="3888.56"/>
    <x v="3"/>
    <s v="FREESHIP"/>
    <n v="0"/>
    <s v="REG100177"/>
    <x v="176"/>
    <n v="10.68"/>
    <x v="155"/>
    <d v="2025-03-10T00:00:00"/>
    <x v="3"/>
    <n v="3888.56"/>
    <n v="0"/>
    <n v="3888.56"/>
    <n v="6"/>
    <x v="0"/>
    <n v="0"/>
  </r>
  <r>
    <d v="2024-07-11T00:00:00"/>
    <x v="0"/>
    <x v="0"/>
    <x v="16"/>
    <n v="555.03"/>
    <s v="Store C"/>
    <x v="1"/>
    <n v="0.1"/>
    <x v="2"/>
    <n v="2997.1619999999998"/>
    <x v="2"/>
    <m/>
    <n v="1"/>
    <s v="REG100178"/>
    <x v="177"/>
    <n v="23.69"/>
    <x v="156"/>
    <d v="2024-07-20T00:00:00"/>
    <x v="0"/>
    <n v="3330.18"/>
    <n v="333.01800000000003"/>
    <n v="2997.1619999999998"/>
    <n v="9"/>
    <x v="127"/>
    <n v="0"/>
  </r>
  <r>
    <d v="2024-08-17T00:00:00"/>
    <x v="0"/>
    <x v="2"/>
    <x v="14"/>
    <n v="421.08"/>
    <s v="Store B"/>
    <x v="0"/>
    <n v="0"/>
    <x v="5"/>
    <n v="5474.04"/>
    <x v="4"/>
    <m/>
    <n v="0"/>
    <s v="REG100179"/>
    <x v="178"/>
    <n v="24.51"/>
    <x v="157"/>
    <d v="2024-08-20T00:00:00"/>
    <x v="0"/>
    <n v="5474.04"/>
    <n v="0"/>
    <n v="5474.04"/>
    <n v="3"/>
    <x v="0"/>
    <n v="0"/>
  </r>
  <r>
    <d v="2025-06-30T00:00:00"/>
    <x v="2"/>
    <x v="0"/>
    <x v="18"/>
    <n v="76.17"/>
    <s v="Store D"/>
    <x v="0"/>
    <n v="0.1"/>
    <x v="1"/>
    <n v="1096.848"/>
    <x v="4"/>
    <s v="WINTER15"/>
    <n v="0"/>
    <s v="REG100180"/>
    <x v="179"/>
    <n v="41.88"/>
    <x v="148"/>
    <d v="2025-07-09T00:00:00"/>
    <x v="2"/>
    <n v="1218.72"/>
    <n v="121.87200000000001"/>
    <n v="1096.848"/>
    <n v="9"/>
    <x v="128"/>
    <n v="0"/>
  </r>
  <r>
    <d v="2024-11-06T00:00:00"/>
    <x v="1"/>
    <x v="6"/>
    <x v="5"/>
    <n v="503.55"/>
    <s v="Store C"/>
    <x v="0"/>
    <n v="0.1"/>
    <x v="5"/>
    <n v="1359.585"/>
    <x v="2"/>
    <s v="WINTER15"/>
    <n v="0"/>
    <s v="REG100181"/>
    <x v="180"/>
    <n v="37.49"/>
    <x v="158"/>
    <d v="2024-11-13T00:00:00"/>
    <x v="1"/>
    <n v="1510.65"/>
    <n v="151.06500000000003"/>
    <n v="1359.585"/>
    <n v="7"/>
    <x v="129"/>
    <n v="0"/>
  </r>
  <r>
    <d v="2025-04-01T00:00:00"/>
    <x v="0"/>
    <x v="5"/>
    <x v="6"/>
    <n v="31.56"/>
    <s v="Store D"/>
    <x v="1"/>
    <n v="0"/>
    <x v="4"/>
    <n v="157.80000000000001"/>
    <x v="0"/>
    <s v="SAVE10"/>
    <n v="1"/>
    <s v="REG100182"/>
    <x v="181"/>
    <n v="29.56"/>
    <x v="159"/>
    <d v="2025-04-04T00:00:00"/>
    <x v="0"/>
    <n v="157.79999999999998"/>
    <n v="0"/>
    <n v="157.79999999999998"/>
    <n v="3"/>
    <x v="0"/>
    <n v="0"/>
  </r>
  <r>
    <d v="2024-07-01T00:00:00"/>
    <x v="4"/>
    <x v="0"/>
    <x v="18"/>
    <n v="72.92"/>
    <s v="Store C"/>
    <x v="0"/>
    <n v="0.05"/>
    <x v="2"/>
    <n v="1108.384"/>
    <x v="4"/>
    <s v="FREESHIP"/>
    <n v="0"/>
    <s v="REG100183"/>
    <x v="182"/>
    <n v="5.7"/>
    <x v="160"/>
    <d v="2024-07-06T00:00:00"/>
    <x v="4"/>
    <n v="1166.72"/>
    <n v="58.336000000000006"/>
    <n v="1108.384"/>
    <n v="5"/>
    <x v="130"/>
    <n v="0"/>
  </r>
  <r>
    <d v="2023-12-09T00:00:00"/>
    <x v="4"/>
    <x v="6"/>
    <x v="2"/>
    <n v="421.93"/>
    <s v="Store D"/>
    <x v="1"/>
    <n v="0.05"/>
    <x v="5"/>
    <n v="7215.0029999999997"/>
    <x v="1"/>
    <s v="WINTER15"/>
    <n v="0"/>
    <s v="REG100184"/>
    <x v="183"/>
    <n v="23.42"/>
    <x v="63"/>
    <d v="2023-12-18T00:00:00"/>
    <x v="4"/>
    <n v="7594.74"/>
    <n v="379.73700000000002"/>
    <n v="7215.0029999999997"/>
    <n v="9"/>
    <x v="131"/>
    <n v="0"/>
  </r>
  <r>
    <d v="2023-06-27T00:00:00"/>
    <x v="2"/>
    <x v="2"/>
    <x v="7"/>
    <n v="478.41"/>
    <s v="Store B"/>
    <x v="1"/>
    <n v="0.1"/>
    <x v="3"/>
    <n v="6458.5350000000008"/>
    <x v="3"/>
    <s v="FREESHIP"/>
    <n v="0"/>
    <s v="REG100185"/>
    <x v="184"/>
    <n v="35.630000000000003"/>
    <x v="161"/>
    <d v="2023-06-30T00:00:00"/>
    <x v="2"/>
    <n v="7176.1500000000005"/>
    <n v="717.61500000000012"/>
    <n v="6458.5350000000008"/>
    <n v="3"/>
    <x v="132"/>
    <n v="0"/>
  </r>
  <r>
    <d v="2023-07-14T00:00:00"/>
    <x v="1"/>
    <x v="3"/>
    <x v="17"/>
    <n v="501.74"/>
    <s v="Store D"/>
    <x v="1"/>
    <n v="0"/>
    <x v="5"/>
    <n v="4515.66"/>
    <x v="0"/>
    <s v="SAVE10"/>
    <n v="1"/>
    <s v="REG100186"/>
    <x v="185"/>
    <n v="39.74"/>
    <x v="123"/>
    <d v="2023-07-17T00:00:00"/>
    <x v="1"/>
    <n v="4515.66"/>
    <n v="0"/>
    <n v="4515.66"/>
    <n v="3"/>
    <x v="0"/>
    <n v="0"/>
  </r>
  <r>
    <d v="2023-02-08T00:00:00"/>
    <x v="1"/>
    <x v="5"/>
    <x v="4"/>
    <n v="247.53"/>
    <s v="Store C"/>
    <x v="0"/>
    <n v="0.15"/>
    <x v="1"/>
    <n v="1472.8035"/>
    <x v="1"/>
    <s v="FREESHIP"/>
    <n v="0"/>
    <s v="REG100187"/>
    <x v="186"/>
    <n v="13.63"/>
    <x v="162"/>
    <d v="2023-02-16T00:00:00"/>
    <x v="1"/>
    <n v="1732.71"/>
    <n v="259.90649999999999"/>
    <n v="1472.8035"/>
    <n v="8"/>
    <x v="133"/>
    <n v="0"/>
  </r>
  <r>
    <d v="2024-06-28T00:00:00"/>
    <x v="4"/>
    <x v="5"/>
    <x v="16"/>
    <n v="176.51"/>
    <s v="Store C"/>
    <x v="0"/>
    <n v="0.15"/>
    <x v="3"/>
    <n v="900.20099999999991"/>
    <x v="3"/>
    <s v="FREESHIP"/>
    <n v="1"/>
    <s v="REG100188"/>
    <x v="187"/>
    <n v="31.02"/>
    <x v="163"/>
    <d v="2024-07-07T00:00:00"/>
    <x v="4"/>
    <n v="1059.06"/>
    <n v="158.85899999999998"/>
    <n v="900.20100000000002"/>
    <n v="9"/>
    <x v="134"/>
    <n v="0"/>
  </r>
  <r>
    <d v="2024-04-15T00:00:00"/>
    <x v="4"/>
    <x v="0"/>
    <x v="3"/>
    <n v="143.43"/>
    <s v="Store D"/>
    <x v="0"/>
    <n v="0"/>
    <x v="5"/>
    <n v="286.86"/>
    <x v="2"/>
    <m/>
    <n v="0"/>
    <s v="REG100189"/>
    <x v="188"/>
    <n v="36.94"/>
    <x v="164"/>
    <d v="2024-04-22T00:00:00"/>
    <x v="4"/>
    <n v="286.86"/>
    <n v="0"/>
    <n v="286.86"/>
    <n v="7"/>
    <x v="0"/>
    <n v="0"/>
  </r>
  <r>
    <d v="2023-11-27T00:00:00"/>
    <x v="0"/>
    <x v="4"/>
    <x v="13"/>
    <n v="538.5"/>
    <s v="Store C"/>
    <x v="0"/>
    <n v="0.05"/>
    <x v="1"/>
    <n v="6138.9"/>
    <x v="4"/>
    <s v="SAVE10"/>
    <n v="0"/>
    <s v="REG100190"/>
    <x v="189"/>
    <n v="18.54"/>
    <x v="165"/>
    <d v="2023-12-06T00:00:00"/>
    <x v="0"/>
    <n v="6462"/>
    <n v="323.10000000000002"/>
    <n v="6138.9"/>
    <n v="9"/>
    <x v="135"/>
    <n v="0"/>
  </r>
  <r>
    <d v="2025-03-27T00:00:00"/>
    <x v="0"/>
    <x v="6"/>
    <x v="6"/>
    <n v="87.17"/>
    <s v="Store D"/>
    <x v="0"/>
    <n v="0"/>
    <x v="3"/>
    <n v="435.85"/>
    <x v="3"/>
    <m/>
    <n v="0"/>
    <s v="REG100191"/>
    <x v="190"/>
    <n v="13.01"/>
    <x v="166"/>
    <d v="2025-03-29T00:00:00"/>
    <x v="0"/>
    <n v="435.85"/>
    <n v="0"/>
    <n v="435.85"/>
    <n v="2"/>
    <x v="0"/>
    <n v="0"/>
  </r>
  <r>
    <d v="2023-08-06T00:00:00"/>
    <x v="1"/>
    <x v="4"/>
    <x v="4"/>
    <n v="498.32"/>
    <s v="Store B"/>
    <x v="0"/>
    <n v="0.1"/>
    <x v="1"/>
    <n v="3139.4160000000002"/>
    <x v="2"/>
    <s v="WINTER15"/>
    <n v="1"/>
    <s v="REG100192"/>
    <x v="191"/>
    <n v="27.65"/>
    <x v="23"/>
    <d v="2023-08-10T00:00:00"/>
    <x v="1"/>
    <n v="3488.24"/>
    <n v="348.82400000000001"/>
    <n v="3139.4159999999997"/>
    <n v="4"/>
    <x v="136"/>
    <n v="0"/>
  </r>
  <r>
    <d v="2024-12-13T00:00:00"/>
    <x v="1"/>
    <x v="6"/>
    <x v="7"/>
    <n v="57.14"/>
    <s v="Store B"/>
    <x v="0"/>
    <n v="0.15"/>
    <x v="3"/>
    <n v="728.53499999999997"/>
    <x v="3"/>
    <s v="FREESHIP"/>
    <n v="0"/>
    <s v="REG100193"/>
    <x v="192"/>
    <n v="7.02"/>
    <x v="167"/>
    <d v="2024-12-22T00:00:00"/>
    <x v="1"/>
    <n v="857.1"/>
    <n v="128.565"/>
    <n v="728.53500000000008"/>
    <n v="9"/>
    <x v="137"/>
    <n v="0"/>
  </r>
  <r>
    <d v="2025-01-17T00:00:00"/>
    <x v="3"/>
    <x v="5"/>
    <x v="2"/>
    <n v="124.18"/>
    <s v="Store B"/>
    <x v="0"/>
    <n v="0.15"/>
    <x v="3"/>
    <n v="1899.954"/>
    <x v="3"/>
    <s v="SAVE10"/>
    <n v="0"/>
    <s v="REG100194"/>
    <x v="193"/>
    <n v="45.77"/>
    <x v="50"/>
    <d v="2025-01-26T00:00:00"/>
    <x v="3"/>
    <n v="2235.2400000000002"/>
    <n v="335.286"/>
    <n v="1899.9540000000002"/>
    <n v="9"/>
    <x v="138"/>
    <n v="0"/>
  </r>
  <r>
    <d v="2023-11-26T00:00:00"/>
    <x v="4"/>
    <x v="2"/>
    <x v="13"/>
    <n v="107.45"/>
    <s v="Store C"/>
    <x v="1"/>
    <n v="0.1"/>
    <x v="5"/>
    <n v="1160.46"/>
    <x v="0"/>
    <s v="FREESHIP"/>
    <n v="0"/>
    <s v="REG100195"/>
    <x v="194"/>
    <n v="18.170000000000002"/>
    <x v="168"/>
    <d v="2023-12-02T00:00:00"/>
    <x v="4"/>
    <n v="1289.4000000000001"/>
    <n v="128.94000000000003"/>
    <n v="1160.46"/>
    <n v="6"/>
    <x v="139"/>
    <n v="0"/>
  </r>
  <r>
    <d v="2023-02-14T00:00:00"/>
    <x v="0"/>
    <x v="3"/>
    <x v="19"/>
    <n v="411.26"/>
    <s v="Store A"/>
    <x v="1"/>
    <n v="0.1"/>
    <x v="2"/>
    <n v="2961.0720000000001"/>
    <x v="1"/>
    <s v="WINTER15"/>
    <n v="0"/>
    <s v="REG100196"/>
    <x v="195"/>
    <n v="28.57"/>
    <x v="169"/>
    <d v="2023-02-18T00:00:00"/>
    <x v="0"/>
    <n v="3290.08"/>
    <n v="329.00800000000004"/>
    <n v="2961.0720000000001"/>
    <n v="4"/>
    <x v="140"/>
    <n v="0"/>
  </r>
  <r>
    <d v="2025-02-02T00:00:00"/>
    <x v="3"/>
    <x v="6"/>
    <x v="4"/>
    <n v="248.1"/>
    <s v="Store C"/>
    <x v="1"/>
    <n v="0"/>
    <x v="4"/>
    <n v="1736.7"/>
    <x v="4"/>
    <s v="WINTER15"/>
    <n v="0"/>
    <s v="REG100197"/>
    <x v="196"/>
    <n v="31.8"/>
    <x v="170"/>
    <d v="2025-02-06T00:00:00"/>
    <x v="3"/>
    <n v="1736.7"/>
    <n v="0"/>
    <n v="1736.7"/>
    <n v="4"/>
    <x v="0"/>
    <n v="0"/>
  </r>
  <r>
    <d v="2023-04-11T00:00:00"/>
    <x v="4"/>
    <x v="6"/>
    <x v="5"/>
    <n v="486.52"/>
    <s v="Store B"/>
    <x v="0"/>
    <n v="0.1"/>
    <x v="3"/>
    <n v="1313.604"/>
    <x v="1"/>
    <m/>
    <n v="0"/>
    <s v="REG100198"/>
    <x v="197"/>
    <n v="16.5"/>
    <x v="171"/>
    <d v="2023-04-20T00:00:00"/>
    <x v="4"/>
    <n v="1459.56"/>
    <n v="145.95599999999999"/>
    <n v="1313.604"/>
    <n v="9"/>
    <x v="141"/>
    <n v="0"/>
  </r>
  <r>
    <d v="2024-07-08T00:00:00"/>
    <x v="2"/>
    <x v="4"/>
    <x v="2"/>
    <n v="415.04"/>
    <s v="Store C"/>
    <x v="0"/>
    <n v="0.1"/>
    <x v="0"/>
    <n v="6723.6480000000001"/>
    <x v="4"/>
    <s v="WINTER15"/>
    <n v="0"/>
    <s v="REG100199"/>
    <x v="198"/>
    <n v="33.58"/>
    <x v="172"/>
    <d v="2024-07-13T00:00:00"/>
    <x v="2"/>
    <n v="7470.72"/>
    <n v="747.07200000000012"/>
    <n v="6723.6480000000001"/>
    <n v="5"/>
    <x v="142"/>
    <n v="0"/>
  </r>
  <r>
    <d v="2023-02-08T00:00:00"/>
    <x v="3"/>
    <x v="6"/>
    <x v="8"/>
    <n v="165.38"/>
    <s v="Store B"/>
    <x v="0"/>
    <n v="0.15"/>
    <x v="1"/>
    <n v="2670.8870000000002"/>
    <x v="0"/>
    <m/>
    <n v="0"/>
    <s v="REG100200"/>
    <x v="199"/>
    <n v="25.2"/>
    <x v="162"/>
    <d v="2023-02-14T00:00:00"/>
    <x v="3"/>
    <n v="3142.22"/>
    <n v="471.33299999999997"/>
    <n v="2670.8869999999997"/>
    <n v="6"/>
    <x v="143"/>
    <n v="0"/>
  </r>
  <r>
    <d v="2024-04-09T00:00:00"/>
    <x v="4"/>
    <x v="2"/>
    <x v="3"/>
    <n v="117.47"/>
    <s v="Store C"/>
    <x v="0"/>
    <n v="0"/>
    <x v="0"/>
    <n v="234.94"/>
    <x v="2"/>
    <s v="FREESHIP"/>
    <n v="0"/>
    <s v="REG100201"/>
    <x v="200"/>
    <n v="6.58"/>
    <x v="173"/>
    <d v="2024-04-16T00:00:00"/>
    <x v="4"/>
    <n v="234.94"/>
    <n v="0"/>
    <n v="234.94"/>
    <n v="7"/>
    <x v="0"/>
    <n v="0"/>
  </r>
  <r>
    <d v="2023-08-14T00:00:00"/>
    <x v="3"/>
    <x v="6"/>
    <x v="17"/>
    <n v="461.79"/>
    <s v="Store C"/>
    <x v="0"/>
    <n v="0.15"/>
    <x v="2"/>
    <n v="3532.6934999999999"/>
    <x v="1"/>
    <m/>
    <n v="0"/>
    <s v="REG100202"/>
    <x v="201"/>
    <n v="47.81"/>
    <x v="174"/>
    <d v="2023-08-18T00:00:00"/>
    <x v="3"/>
    <n v="4156.1100000000006"/>
    <n v="623.41650000000004"/>
    <n v="3532.6935000000003"/>
    <n v="4"/>
    <x v="144"/>
    <n v="0"/>
  </r>
  <r>
    <d v="2024-09-02T00:00:00"/>
    <x v="4"/>
    <x v="5"/>
    <x v="8"/>
    <n v="208.72"/>
    <s v="Store D"/>
    <x v="1"/>
    <n v="0.05"/>
    <x v="2"/>
    <n v="3767.3960000000002"/>
    <x v="2"/>
    <s v="FREESHIP"/>
    <n v="0"/>
    <s v="REG100203"/>
    <x v="202"/>
    <n v="38.409999999999997"/>
    <x v="175"/>
    <d v="2024-09-06T00:00:00"/>
    <x v="4"/>
    <n v="3965.68"/>
    <n v="198.28399999999999"/>
    <n v="3767.3959999999997"/>
    <n v="4"/>
    <x v="145"/>
    <n v="0"/>
  </r>
  <r>
    <d v="2025-06-29T00:00:00"/>
    <x v="3"/>
    <x v="4"/>
    <x v="18"/>
    <n v="278.13"/>
    <s v="Store A"/>
    <x v="0"/>
    <n v="0.15"/>
    <x v="1"/>
    <n v="3782.5680000000002"/>
    <x v="4"/>
    <s v="SAVE10"/>
    <n v="0"/>
    <s v="REG100204"/>
    <x v="203"/>
    <n v="24.29"/>
    <x v="176"/>
    <d v="2025-07-04T00:00:00"/>
    <x v="3"/>
    <n v="4450.08"/>
    <n v="667.51199999999994"/>
    <n v="3782.5680000000002"/>
    <n v="5"/>
    <x v="146"/>
    <n v="0"/>
  </r>
  <r>
    <d v="2025-04-02T00:00:00"/>
    <x v="4"/>
    <x v="0"/>
    <x v="3"/>
    <n v="580.19000000000005"/>
    <s v="Store B"/>
    <x v="0"/>
    <n v="0.05"/>
    <x v="4"/>
    <n v="1102.3610000000001"/>
    <x v="3"/>
    <s v="WINTER15"/>
    <n v="0"/>
    <s v="REG100205"/>
    <x v="204"/>
    <n v="7.33"/>
    <x v="177"/>
    <d v="2025-04-08T00:00:00"/>
    <x v="4"/>
    <n v="1160.3800000000001"/>
    <n v="58.019000000000005"/>
    <n v="1102.3610000000001"/>
    <n v="6"/>
    <x v="147"/>
    <n v="0"/>
  </r>
  <r>
    <d v="2023-04-27T00:00:00"/>
    <x v="3"/>
    <x v="5"/>
    <x v="19"/>
    <n v="536.42999999999995"/>
    <s v="Store B"/>
    <x v="1"/>
    <n v="0"/>
    <x v="3"/>
    <n v="4291.4399999999996"/>
    <x v="4"/>
    <m/>
    <n v="1"/>
    <s v="REG100206"/>
    <x v="205"/>
    <n v="14.58"/>
    <x v="178"/>
    <d v="2023-05-07T00:00:00"/>
    <x v="3"/>
    <n v="4291.4399999999996"/>
    <n v="0"/>
    <n v="4291.4399999999996"/>
    <n v="10"/>
    <x v="0"/>
    <n v="0"/>
  </r>
  <r>
    <d v="2024-08-07T00:00:00"/>
    <x v="0"/>
    <x v="1"/>
    <x v="1"/>
    <n v="94.33"/>
    <s v="Store A"/>
    <x v="0"/>
    <n v="0"/>
    <x v="3"/>
    <n v="94.33"/>
    <x v="0"/>
    <m/>
    <n v="0"/>
    <s v="REG100207"/>
    <x v="206"/>
    <n v="49.17"/>
    <x v="179"/>
    <d v="2024-08-17T00:00:00"/>
    <x v="0"/>
    <n v="94.33"/>
    <n v="0"/>
    <n v="94.33"/>
    <n v="10"/>
    <x v="0"/>
    <n v="0"/>
  </r>
  <r>
    <d v="2023-04-15T00:00:00"/>
    <x v="4"/>
    <x v="0"/>
    <x v="18"/>
    <n v="489.94"/>
    <s v="Store C"/>
    <x v="1"/>
    <n v="0.1"/>
    <x v="2"/>
    <n v="7055.1360000000004"/>
    <x v="4"/>
    <s v="SAVE10"/>
    <n v="0"/>
    <s v="REG100208"/>
    <x v="57"/>
    <n v="9.69"/>
    <x v="180"/>
    <d v="2023-04-25T00:00:00"/>
    <x v="4"/>
    <n v="7839.04"/>
    <n v="783.904"/>
    <n v="7055.1360000000004"/>
    <n v="10"/>
    <x v="148"/>
    <n v="0"/>
  </r>
  <r>
    <d v="2023-08-12T00:00:00"/>
    <x v="1"/>
    <x v="2"/>
    <x v="15"/>
    <n v="551.71"/>
    <s v="Store A"/>
    <x v="1"/>
    <n v="0.05"/>
    <x v="0"/>
    <n v="2096.498"/>
    <x v="1"/>
    <m/>
    <n v="1"/>
    <s v="REG100209"/>
    <x v="207"/>
    <n v="26.32"/>
    <x v="181"/>
    <d v="2023-08-15T00:00:00"/>
    <x v="1"/>
    <n v="2206.84"/>
    <n v="110.34200000000001"/>
    <n v="2096.498"/>
    <n v="3"/>
    <x v="149"/>
    <n v="0"/>
  </r>
  <r>
    <d v="2023-06-19T00:00:00"/>
    <x v="4"/>
    <x v="6"/>
    <x v="9"/>
    <n v="595.57000000000005"/>
    <s v="Store D"/>
    <x v="1"/>
    <n v="0.15"/>
    <x v="5"/>
    <n v="8605.9865000000009"/>
    <x v="2"/>
    <s v="WINTER15"/>
    <n v="0"/>
    <s v="REG100210"/>
    <x v="208"/>
    <n v="9.73"/>
    <x v="182"/>
    <d v="2023-06-28T00:00:00"/>
    <x v="4"/>
    <n v="10124.69"/>
    <n v="1518.7035000000001"/>
    <n v="8605.9865000000009"/>
    <n v="9"/>
    <x v="150"/>
    <n v="0"/>
  </r>
  <r>
    <d v="2023-12-29T00:00:00"/>
    <x v="0"/>
    <x v="6"/>
    <x v="1"/>
    <n v="180.12"/>
    <s v="Store A"/>
    <x v="0"/>
    <n v="0.1"/>
    <x v="0"/>
    <n v="162.108"/>
    <x v="3"/>
    <m/>
    <n v="0"/>
    <s v="REG100211"/>
    <x v="209"/>
    <n v="27.07"/>
    <x v="183"/>
    <d v="2024-01-07T00:00:00"/>
    <x v="0"/>
    <n v="180.12"/>
    <n v="18.012"/>
    <n v="162.108"/>
    <n v="9"/>
    <x v="151"/>
    <n v="0"/>
  </r>
  <r>
    <d v="2023-03-26T00:00:00"/>
    <x v="0"/>
    <x v="2"/>
    <x v="13"/>
    <n v="301.5"/>
    <s v="Store D"/>
    <x v="1"/>
    <n v="0.15"/>
    <x v="5"/>
    <n v="3075.3"/>
    <x v="2"/>
    <s v="FREESHIP"/>
    <n v="1"/>
    <s v="REG100212"/>
    <x v="210"/>
    <n v="43.67"/>
    <x v="184"/>
    <d v="2023-03-30T00:00:00"/>
    <x v="0"/>
    <n v="3618"/>
    <n v="542.69999999999993"/>
    <n v="3075.3"/>
    <n v="4"/>
    <x v="152"/>
    <n v="0"/>
  </r>
  <r>
    <d v="2023-09-01T00:00:00"/>
    <x v="1"/>
    <x v="1"/>
    <x v="11"/>
    <n v="273.55"/>
    <s v="Store D"/>
    <x v="1"/>
    <n v="0.15"/>
    <x v="2"/>
    <n v="4650.3499999999995"/>
    <x v="3"/>
    <m/>
    <n v="0"/>
    <s v="REG100213"/>
    <x v="211"/>
    <n v="14.76"/>
    <x v="185"/>
    <d v="2023-09-07T00:00:00"/>
    <x v="1"/>
    <n v="5471"/>
    <n v="820.65"/>
    <n v="4650.3500000000004"/>
    <n v="6"/>
    <x v="153"/>
    <n v="0"/>
  </r>
  <r>
    <d v="2024-08-05T00:00:00"/>
    <x v="4"/>
    <x v="5"/>
    <x v="16"/>
    <n v="187.06"/>
    <s v="Store B"/>
    <x v="0"/>
    <n v="0.1"/>
    <x v="2"/>
    <n v="1010.124"/>
    <x v="3"/>
    <s v="FREESHIP"/>
    <n v="0"/>
    <s v="REG100214"/>
    <x v="212"/>
    <n v="11.03"/>
    <x v="186"/>
    <d v="2024-08-13T00:00:00"/>
    <x v="4"/>
    <n v="1122.3600000000001"/>
    <n v="112.23600000000002"/>
    <n v="1010.1240000000001"/>
    <n v="8"/>
    <x v="154"/>
    <n v="0"/>
  </r>
  <r>
    <d v="2025-01-23T00:00:00"/>
    <x v="2"/>
    <x v="3"/>
    <x v="18"/>
    <n v="562.52"/>
    <s v="Store D"/>
    <x v="1"/>
    <n v="0"/>
    <x v="2"/>
    <n v="9000.32"/>
    <x v="1"/>
    <m/>
    <n v="0"/>
    <s v="REG100215"/>
    <x v="213"/>
    <n v="18.23"/>
    <x v="187"/>
    <d v="2025-01-27T00:00:00"/>
    <x v="2"/>
    <n v="9000.32"/>
    <n v="0"/>
    <n v="9000.32"/>
    <n v="4"/>
    <x v="0"/>
    <n v="0"/>
  </r>
  <r>
    <d v="2023-05-16T00:00:00"/>
    <x v="0"/>
    <x v="5"/>
    <x v="15"/>
    <n v="85.16"/>
    <s v="Store D"/>
    <x v="0"/>
    <n v="0.1"/>
    <x v="3"/>
    <n v="306.57600000000002"/>
    <x v="2"/>
    <m/>
    <n v="0"/>
    <s v="REG100216"/>
    <x v="214"/>
    <n v="38.51"/>
    <x v="188"/>
    <d v="2023-05-23T00:00:00"/>
    <x v="0"/>
    <n v="340.64"/>
    <n v="34.064"/>
    <n v="306.57599999999996"/>
    <n v="7"/>
    <x v="155"/>
    <n v="0"/>
  </r>
  <r>
    <d v="2023-02-14T00:00:00"/>
    <x v="2"/>
    <x v="5"/>
    <x v="13"/>
    <n v="451.51"/>
    <s v="Store B"/>
    <x v="0"/>
    <n v="0.15"/>
    <x v="3"/>
    <n v="4605.402"/>
    <x v="0"/>
    <s v="WINTER15"/>
    <n v="0"/>
    <s v="REG100217"/>
    <x v="215"/>
    <n v="9.5399999999999991"/>
    <x v="169"/>
    <d v="2023-02-22T00:00:00"/>
    <x v="2"/>
    <n v="5418.12"/>
    <n v="812.71799999999996"/>
    <n v="4605.402"/>
    <n v="8"/>
    <x v="156"/>
    <n v="0"/>
  </r>
  <r>
    <d v="2024-06-03T00:00:00"/>
    <x v="3"/>
    <x v="5"/>
    <x v="1"/>
    <n v="259.87"/>
    <s v="Store D"/>
    <x v="1"/>
    <n v="0.15"/>
    <x v="0"/>
    <n v="220.8895"/>
    <x v="1"/>
    <s v="FREESHIP"/>
    <n v="0"/>
    <s v="REG100218"/>
    <x v="216"/>
    <n v="19.2"/>
    <x v="189"/>
    <d v="2024-06-12T00:00:00"/>
    <x v="3"/>
    <n v="259.87"/>
    <n v="38.980499999999999"/>
    <n v="220.8895"/>
    <n v="9"/>
    <x v="157"/>
    <n v="0"/>
  </r>
  <r>
    <d v="2023-11-08T00:00:00"/>
    <x v="3"/>
    <x v="5"/>
    <x v="11"/>
    <n v="268.25"/>
    <s v="Store D"/>
    <x v="1"/>
    <n v="0.05"/>
    <x v="4"/>
    <n v="5096.75"/>
    <x v="4"/>
    <s v="FREESHIP"/>
    <n v="0"/>
    <s v="REG100219"/>
    <x v="217"/>
    <n v="20.96"/>
    <x v="190"/>
    <d v="2023-11-15T00:00:00"/>
    <x v="3"/>
    <n v="5365"/>
    <n v="268.25"/>
    <n v="5096.75"/>
    <n v="7"/>
    <x v="158"/>
    <n v="0"/>
  </r>
  <r>
    <d v="2023-01-24T00:00:00"/>
    <x v="4"/>
    <x v="1"/>
    <x v="12"/>
    <n v="266.13"/>
    <s v="Store B"/>
    <x v="0"/>
    <n v="0"/>
    <x v="4"/>
    <n v="2661.3"/>
    <x v="1"/>
    <s v="WINTER15"/>
    <n v="0"/>
    <s v="REG100220"/>
    <x v="218"/>
    <n v="21.01"/>
    <x v="191"/>
    <d v="2023-01-26T00:00:00"/>
    <x v="4"/>
    <n v="2661.3"/>
    <n v="0"/>
    <n v="2661.3"/>
    <n v="2"/>
    <x v="0"/>
    <n v="0"/>
  </r>
  <r>
    <d v="2025-03-20T00:00:00"/>
    <x v="4"/>
    <x v="0"/>
    <x v="2"/>
    <n v="493.06"/>
    <s v="Store D"/>
    <x v="0"/>
    <n v="0.05"/>
    <x v="4"/>
    <n v="8431.3259999999991"/>
    <x v="4"/>
    <s v="WINTER15"/>
    <n v="1"/>
    <s v="REG100221"/>
    <x v="219"/>
    <n v="46.87"/>
    <x v="192"/>
    <d v="2025-03-28T00:00:00"/>
    <x v="4"/>
    <n v="8875.08"/>
    <n v="443.75400000000002"/>
    <n v="8431.3259999999991"/>
    <n v="8"/>
    <x v="159"/>
    <n v="0"/>
  </r>
  <r>
    <d v="2024-02-22T00:00:00"/>
    <x v="4"/>
    <x v="4"/>
    <x v="15"/>
    <n v="36.82"/>
    <s v="Store C"/>
    <x v="0"/>
    <n v="0.05"/>
    <x v="2"/>
    <n v="139.916"/>
    <x v="2"/>
    <s v="WINTER15"/>
    <n v="1"/>
    <s v="REG100222"/>
    <x v="220"/>
    <n v="24.86"/>
    <x v="193"/>
    <d v="2024-03-01T00:00:00"/>
    <x v="4"/>
    <n v="147.28"/>
    <n v="7.3640000000000008"/>
    <n v="139.916"/>
    <n v="8"/>
    <x v="160"/>
    <n v="0"/>
  </r>
  <r>
    <d v="2025-04-02T00:00:00"/>
    <x v="2"/>
    <x v="6"/>
    <x v="13"/>
    <n v="413.45"/>
    <s v="Store D"/>
    <x v="1"/>
    <n v="0.15"/>
    <x v="5"/>
    <n v="4217.1899999999996"/>
    <x v="4"/>
    <s v="FREESHIP"/>
    <n v="0"/>
    <s v="REG100223"/>
    <x v="221"/>
    <n v="23.25"/>
    <x v="177"/>
    <d v="2025-04-10T00:00:00"/>
    <x v="2"/>
    <n v="4961.3999999999996"/>
    <n v="744.20999999999992"/>
    <n v="4217.1899999999996"/>
    <n v="8"/>
    <x v="161"/>
    <n v="0"/>
  </r>
  <r>
    <d v="2025-06-12T00:00:00"/>
    <x v="2"/>
    <x v="3"/>
    <x v="8"/>
    <n v="446.25"/>
    <s v="Store B"/>
    <x v="1"/>
    <n v="0.1"/>
    <x v="0"/>
    <n v="7630.875"/>
    <x v="1"/>
    <m/>
    <n v="0"/>
    <s v="REG100224"/>
    <x v="222"/>
    <n v="14.88"/>
    <x v="103"/>
    <d v="2025-06-18T00:00:00"/>
    <x v="2"/>
    <n v="8478.75"/>
    <n v="847.875"/>
    <n v="7630.875"/>
    <n v="6"/>
    <x v="162"/>
    <n v="0"/>
  </r>
  <r>
    <d v="2023-05-13T00:00:00"/>
    <x v="0"/>
    <x v="0"/>
    <x v="4"/>
    <n v="82.77"/>
    <s v="Store D"/>
    <x v="0"/>
    <n v="0.15"/>
    <x v="2"/>
    <n v="492.48149999999998"/>
    <x v="3"/>
    <s v="SAVE10"/>
    <n v="1"/>
    <s v="REG100225"/>
    <x v="223"/>
    <n v="15.66"/>
    <x v="194"/>
    <d v="2023-05-17T00:00:00"/>
    <x v="0"/>
    <n v="579.39"/>
    <n v="86.908499999999989"/>
    <n v="492.48149999999998"/>
    <n v="4"/>
    <x v="163"/>
    <n v="0"/>
  </r>
  <r>
    <d v="2023-03-25T00:00:00"/>
    <x v="1"/>
    <x v="2"/>
    <x v="9"/>
    <n v="339.88"/>
    <s v="Store A"/>
    <x v="1"/>
    <n v="0"/>
    <x v="1"/>
    <n v="5777.96"/>
    <x v="4"/>
    <m/>
    <n v="0"/>
    <s v="REG100226"/>
    <x v="224"/>
    <n v="44.86"/>
    <x v="195"/>
    <d v="2023-03-28T00:00:00"/>
    <x v="1"/>
    <n v="5777.96"/>
    <n v="0"/>
    <n v="5777.96"/>
    <n v="3"/>
    <x v="0"/>
    <n v="0"/>
  </r>
  <r>
    <d v="2024-11-22T00:00:00"/>
    <x v="1"/>
    <x v="6"/>
    <x v="8"/>
    <n v="364.32"/>
    <s v="Store B"/>
    <x v="1"/>
    <n v="0.15"/>
    <x v="2"/>
    <n v="5883.768"/>
    <x v="3"/>
    <m/>
    <n v="1"/>
    <s v="REG100227"/>
    <x v="225"/>
    <n v="39.76"/>
    <x v="196"/>
    <d v="2024-11-25T00:00:00"/>
    <x v="1"/>
    <n v="6922.08"/>
    <n v="1038.3119999999999"/>
    <n v="5883.768"/>
    <n v="3"/>
    <x v="164"/>
    <n v="0"/>
  </r>
  <r>
    <d v="2023-07-07T00:00:00"/>
    <x v="0"/>
    <x v="5"/>
    <x v="5"/>
    <n v="71.91"/>
    <s v="Store B"/>
    <x v="0"/>
    <n v="0"/>
    <x v="1"/>
    <n v="215.73"/>
    <x v="1"/>
    <s v="WINTER15"/>
    <n v="1"/>
    <s v="REG100228"/>
    <x v="226"/>
    <n v="46.25"/>
    <x v="197"/>
    <d v="2023-07-17T00:00:00"/>
    <x v="0"/>
    <n v="215.73"/>
    <n v="0"/>
    <n v="215.73"/>
    <n v="10"/>
    <x v="0"/>
    <n v="0"/>
  </r>
  <r>
    <d v="2024-10-05T00:00:00"/>
    <x v="0"/>
    <x v="5"/>
    <x v="11"/>
    <n v="576.29999999999995"/>
    <s v="Store D"/>
    <x v="0"/>
    <n v="0.05"/>
    <x v="0"/>
    <n v="10949.7"/>
    <x v="2"/>
    <m/>
    <n v="0"/>
    <s v="REG100229"/>
    <x v="227"/>
    <n v="25.22"/>
    <x v="198"/>
    <d v="2024-10-09T00:00:00"/>
    <x v="0"/>
    <n v="11526"/>
    <n v="576.30000000000007"/>
    <n v="10949.7"/>
    <n v="4"/>
    <x v="165"/>
    <n v="0"/>
  </r>
  <r>
    <d v="2024-03-31T00:00:00"/>
    <x v="4"/>
    <x v="0"/>
    <x v="4"/>
    <n v="120.6"/>
    <s v="Store B"/>
    <x v="0"/>
    <n v="0"/>
    <x v="4"/>
    <n v="844.19999999999993"/>
    <x v="0"/>
    <s v="WINTER15"/>
    <n v="0"/>
    <s v="REG100230"/>
    <x v="228"/>
    <n v="43.8"/>
    <x v="199"/>
    <d v="2024-04-08T00:00:00"/>
    <x v="4"/>
    <n v="844.19999999999993"/>
    <n v="0"/>
    <n v="844.19999999999993"/>
    <n v="8"/>
    <x v="0"/>
    <n v="0"/>
  </r>
  <r>
    <d v="2025-04-01T00:00:00"/>
    <x v="4"/>
    <x v="6"/>
    <x v="19"/>
    <n v="96.19"/>
    <s v="Store A"/>
    <x v="0"/>
    <n v="0.05"/>
    <x v="3"/>
    <n v="731.04399999999998"/>
    <x v="3"/>
    <s v="SAVE10"/>
    <n v="0"/>
    <s v="REG100231"/>
    <x v="229"/>
    <n v="34.07"/>
    <x v="159"/>
    <d v="2025-04-04T00:00:00"/>
    <x v="4"/>
    <n v="769.52"/>
    <n v="38.475999999999999"/>
    <n v="731.04399999999998"/>
    <n v="3"/>
    <x v="166"/>
    <n v="0"/>
  </r>
  <r>
    <d v="2023-08-23T00:00:00"/>
    <x v="4"/>
    <x v="6"/>
    <x v="0"/>
    <n v="471.17"/>
    <s v="Store A"/>
    <x v="0"/>
    <n v="0.05"/>
    <x v="3"/>
    <n v="6266.5609999999997"/>
    <x v="1"/>
    <s v="FREESHIP"/>
    <n v="0"/>
    <s v="REG100232"/>
    <x v="230"/>
    <n v="26.38"/>
    <x v="200"/>
    <d v="2023-08-26T00:00:00"/>
    <x v="4"/>
    <n v="6596.38"/>
    <n v="329.81900000000002"/>
    <n v="6266.5609999999997"/>
    <n v="3"/>
    <x v="167"/>
    <n v="0"/>
  </r>
  <r>
    <d v="2024-08-14T00:00:00"/>
    <x v="1"/>
    <x v="1"/>
    <x v="11"/>
    <n v="14.33"/>
    <s v="Store D"/>
    <x v="0"/>
    <n v="0.1"/>
    <x v="3"/>
    <n v="257.94000000000011"/>
    <x v="3"/>
    <m/>
    <n v="0"/>
    <s v="REG100233"/>
    <x v="231"/>
    <n v="6.22"/>
    <x v="201"/>
    <d v="2024-08-21T00:00:00"/>
    <x v="1"/>
    <n v="286.60000000000002"/>
    <n v="28.660000000000004"/>
    <n v="257.94"/>
    <n v="7"/>
    <x v="168"/>
    <n v="0"/>
  </r>
  <r>
    <d v="2025-02-14T00:00:00"/>
    <x v="3"/>
    <x v="5"/>
    <x v="2"/>
    <n v="499.61"/>
    <s v="Store B"/>
    <x v="1"/>
    <n v="0.15"/>
    <x v="1"/>
    <n v="7644.0329999999994"/>
    <x v="3"/>
    <m/>
    <n v="0"/>
    <s v="REG100234"/>
    <x v="232"/>
    <n v="9.64"/>
    <x v="202"/>
    <d v="2025-02-19T00:00:00"/>
    <x v="3"/>
    <n v="8992.98"/>
    <n v="1348.9469999999999"/>
    <n v="7644.0329999999994"/>
    <n v="5"/>
    <x v="169"/>
    <n v="0"/>
  </r>
  <r>
    <d v="2023-11-11T00:00:00"/>
    <x v="4"/>
    <x v="4"/>
    <x v="0"/>
    <n v="16.329999999999998"/>
    <s v="Store B"/>
    <x v="0"/>
    <n v="0.1"/>
    <x v="4"/>
    <n v="205.75800000000001"/>
    <x v="3"/>
    <s v="WINTER15"/>
    <n v="0"/>
    <s v="REG100235"/>
    <x v="233"/>
    <n v="22.72"/>
    <x v="203"/>
    <d v="2023-11-16T00:00:00"/>
    <x v="4"/>
    <n v="228.61999999999998"/>
    <n v="22.861999999999998"/>
    <n v="205.75799999999998"/>
    <n v="5"/>
    <x v="170"/>
    <n v="0"/>
  </r>
  <r>
    <d v="2024-04-01T00:00:00"/>
    <x v="3"/>
    <x v="2"/>
    <x v="9"/>
    <n v="480.62"/>
    <s v="Store C"/>
    <x v="0"/>
    <n v="0.15"/>
    <x v="3"/>
    <n v="6944.9589999999998"/>
    <x v="0"/>
    <s v="FREESHIP"/>
    <n v="0"/>
    <s v="REG100236"/>
    <x v="234"/>
    <n v="37.090000000000003"/>
    <x v="204"/>
    <d v="2024-04-09T00:00:00"/>
    <x v="3"/>
    <n v="8170.54"/>
    <n v="1225.5809999999999"/>
    <n v="6944.9589999999998"/>
    <n v="8"/>
    <x v="171"/>
    <n v="0"/>
  </r>
  <r>
    <d v="2024-06-13T00:00:00"/>
    <x v="1"/>
    <x v="3"/>
    <x v="6"/>
    <n v="555.84"/>
    <s v="Store C"/>
    <x v="1"/>
    <n v="0.05"/>
    <x v="4"/>
    <n v="2640.24"/>
    <x v="2"/>
    <m/>
    <n v="0"/>
    <s v="REG100237"/>
    <x v="235"/>
    <n v="29.4"/>
    <x v="205"/>
    <d v="2024-06-20T00:00:00"/>
    <x v="1"/>
    <n v="2779.2000000000003"/>
    <n v="138.96"/>
    <n v="2640.2400000000002"/>
    <n v="7"/>
    <x v="172"/>
    <n v="0"/>
  </r>
  <r>
    <d v="2023-11-28T00:00:00"/>
    <x v="2"/>
    <x v="3"/>
    <x v="2"/>
    <n v="174.03"/>
    <s v="Store B"/>
    <x v="0"/>
    <n v="0.1"/>
    <x v="2"/>
    <n v="2819.2860000000001"/>
    <x v="0"/>
    <s v="SAVE10"/>
    <n v="0"/>
    <s v="REG100238"/>
    <x v="236"/>
    <n v="32.19"/>
    <x v="206"/>
    <d v="2023-12-03T00:00:00"/>
    <x v="2"/>
    <n v="3132.54"/>
    <n v="313.25400000000002"/>
    <n v="2819.2860000000001"/>
    <n v="5"/>
    <x v="173"/>
    <n v="0"/>
  </r>
  <r>
    <d v="2024-11-11T00:00:00"/>
    <x v="3"/>
    <x v="2"/>
    <x v="10"/>
    <n v="286.05"/>
    <s v="Store A"/>
    <x v="1"/>
    <n v="0.1"/>
    <x v="5"/>
    <n v="2831.895"/>
    <x v="3"/>
    <m/>
    <n v="1"/>
    <s v="REG100239"/>
    <x v="237"/>
    <n v="8.59"/>
    <x v="207"/>
    <d v="2024-11-16T00:00:00"/>
    <x v="3"/>
    <n v="3146.55"/>
    <n v="314.65500000000003"/>
    <n v="2831.895"/>
    <n v="5"/>
    <x v="174"/>
    <n v="0"/>
  </r>
  <r>
    <d v="2024-11-04T00:00:00"/>
    <x v="2"/>
    <x v="2"/>
    <x v="18"/>
    <n v="40.729999999999997"/>
    <s v="Store D"/>
    <x v="1"/>
    <n v="0"/>
    <x v="1"/>
    <n v="651.67999999999995"/>
    <x v="2"/>
    <m/>
    <n v="0"/>
    <s v="REG100240"/>
    <x v="238"/>
    <n v="24.72"/>
    <x v="208"/>
    <d v="2024-11-08T00:00:00"/>
    <x v="2"/>
    <n v="651.67999999999995"/>
    <n v="0"/>
    <n v="651.67999999999995"/>
    <n v="4"/>
    <x v="0"/>
    <n v="0"/>
  </r>
  <r>
    <d v="2023-01-01T00:00:00"/>
    <x v="3"/>
    <x v="3"/>
    <x v="10"/>
    <n v="468.22"/>
    <s v="Store D"/>
    <x v="1"/>
    <n v="0"/>
    <x v="3"/>
    <n v="5150.42"/>
    <x v="3"/>
    <s v="WINTER15"/>
    <n v="0"/>
    <s v="REG100241"/>
    <x v="239"/>
    <n v="19.920000000000002"/>
    <x v="209"/>
    <d v="2023-01-11T00:00:00"/>
    <x v="3"/>
    <n v="5150.42"/>
    <n v="0"/>
    <n v="5150.42"/>
    <n v="10"/>
    <x v="0"/>
    <n v="0"/>
  </r>
  <r>
    <d v="2025-01-18T00:00:00"/>
    <x v="2"/>
    <x v="5"/>
    <x v="1"/>
    <n v="411.54"/>
    <s v="Store C"/>
    <x v="1"/>
    <n v="0.1"/>
    <x v="0"/>
    <n v="370.38600000000002"/>
    <x v="1"/>
    <s v="WINTER15"/>
    <n v="0"/>
    <s v="REG100242"/>
    <x v="240"/>
    <n v="7.46"/>
    <x v="13"/>
    <d v="2025-01-20T00:00:00"/>
    <x v="2"/>
    <n v="411.54"/>
    <n v="41.154000000000003"/>
    <n v="370.38600000000002"/>
    <n v="2"/>
    <x v="175"/>
    <n v="0"/>
  </r>
  <r>
    <d v="2023-05-02T00:00:00"/>
    <x v="3"/>
    <x v="6"/>
    <x v="14"/>
    <n v="134.19999999999999"/>
    <s v="Store A"/>
    <x v="0"/>
    <n v="0.05"/>
    <x v="0"/>
    <n v="1657.37"/>
    <x v="2"/>
    <s v="WINTER15"/>
    <n v="0"/>
    <s v="REG100243"/>
    <x v="241"/>
    <n v="9.6"/>
    <x v="210"/>
    <d v="2023-05-10T00:00:00"/>
    <x v="3"/>
    <n v="1744.6"/>
    <n v="87.23"/>
    <n v="1657.37"/>
    <n v="8"/>
    <x v="176"/>
    <n v="0"/>
  </r>
  <r>
    <d v="2025-05-27T00:00:00"/>
    <x v="4"/>
    <x v="6"/>
    <x v="12"/>
    <n v="351.23"/>
    <s v="Store B"/>
    <x v="1"/>
    <n v="0.15"/>
    <x v="2"/>
    <n v="2985.4549999999999"/>
    <x v="0"/>
    <m/>
    <n v="0"/>
    <s v="REG100244"/>
    <x v="242"/>
    <n v="42.74"/>
    <x v="211"/>
    <d v="2025-06-02T00:00:00"/>
    <x v="4"/>
    <n v="3512.3"/>
    <n v="526.84500000000003"/>
    <n v="2985.4549999999999"/>
    <n v="6"/>
    <x v="177"/>
    <n v="0"/>
  </r>
  <r>
    <d v="2024-12-27T00:00:00"/>
    <x v="1"/>
    <x v="4"/>
    <x v="0"/>
    <n v="551.14"/>
    <s v="Store C"/>
    <x v="0"/>
    <n v="0.1"/>
    <x v="4"/>
    <n v="6944.3639999999996"/>
    <x v="0"/>
    <s v="FREESHIP"/>
    <n v="1"/>
    <s v="REG100245"/>
    <x v="243"/>
    <n v="12.35"/>
    <x v="212"/>
    <d v="2025-01-05T00:00:00"/>
    <x v="1"/>
    <n v="7715.96"/>
    <n v="771.596"/>
    <n v="6944.3639999999996"/>
    <n v="9"/>
    <x v="178"/>
    <n v="0"/>
  </r>
  <r>
    <d v="2025-03-18T00:00:00"/>
    <x v="4"/>
    <x v="3"/>
    <x v="3"/>
    <n v="131.13"/>
    <s v="Store B"/>
    <x v="1"/>
    <n v="0.1"/>
    <x v="0"/>
    <n v="236.03399999999999"/>
    <x v="3"/>
    <m/>
    <n v="0"/>
    <s v="REG100246"/>
    <x v="244"/>
    <n v="14.74"/>
    <x v="213"/>
    <d v="2025-03-24T00:00:00"/>
    <x v="4"/>
    <n v="262.26"/>
    <n v="26.225999999999999"/>
    <n v="236.03399999999999"/>
    <n v="6"/>
    <x v="179"/>
    <n v="0"/>
  </r>
  <r>
    <d v="2024-03-24T00:00:00"/>
    <x v="0"/>
    <x v="0"/>
    <x v="16"/>
    <n v="595.11"/>
    <s v="Store C"/>
    <x v="0"/>
    <n v="0"/>
    <x v="4"/>
    <n v="3570.66"/>
    <x v="4"/>
    <s v="SAVE10"/>
    <n v="1"/>
    <s v="REG100247"/>
    <x v="53"/>
    <n v="28.92"/>
    <x v="214"/>
    <d v="2024-03-31T00:00:00"/>
    <x v="0"/>
    <n v="3570.66"/>
    <n v="0"/>
    <n v="3570.66"/>
    <n v="7"/>
    <x v="0"/>
    <n v="0"/>
  </r>
  <r>
    <d v="2024-12-26T00:00:00"/>
    <x v="0"/>
    <x v="0"/>
    <x v="16"/>
    <n v="516.66"/>
    <s v="Store C"/>
    <x v="0"/>
    <n v="0.05"/>
    <x v="5"/>
    <n v="2944.962"/>
    <x v="0"/>
    <m/>
    <n v="1"/>
    <s v="REG100248"/>
    <x v="144"/>
    <n v="5.15"/>
    <x v="215"/>
    <d v="2025-01-03T00:00:00"/>
    <x v="0"/>
    <n v="3099.96"/>
    <n v="154.99800000000002"/>
    <n v="2944.962"/>
    <n v="8"/>
    <x v="180"/>
    <n v="0"/>
  </r>
  <r>
    <d v="2023-01-11T00:00:00"/>
    <x v="2"/>
    <x v="2"/>
    <x v="16"/>
    <n v="202.57"/>
    <s v="Store D"/>
    <x v="1"/>
    <n v="0.05"/>
    <x v="0"/>
    <n v="1154.6489999999999"/>
    <x v="1"/>
    <s v="FREESHIP"/>
    <n v="0"/>
    <s v="REG100249"/>
    <x v="245"/>
    <n v="24.39"/>
    <x v="6"/>
    <d v="2023-01-14T00:00:00"/>
    <x v="2"/>
    <n v="1215.42"/>
    <n v="60.771000000000008"/>
    <n v="1154.6490000000001"/>
    <n v="3"/>
    <x v="181"/>
    <n v="0"/>
  </r>
  <r>
    <d v="2025-06-01T00:00:00"/>
    <x v="1"/>
    <x v="0"/>
    <x v="14"/>
    <n v="306.16000000000003"/>
    <s v="Store A"/>
    <x v="0"/>
    <n v="0.15"/>
    <x v="2"/>
    <n v="3383.0680000000002"/>
    <x v="4"/>
    <s v="SAVE10"/>
    <n v="0"/>
    <s v="REG100250"/>
    <x v="246"/>
    <n v="25.16"/>
    <x v="216"/>
    <d v="2025-06-10T00:00:00"/>
    <x v="1"/>
    <n v="3980.0800000000004"/>
    <n v="597.01200000000006"/>
    <n v="3383.0680000000002"/>
    <n v="9"/>
    <x v="182"/>
    <n v="0"/>
  </r>
  <r>
    <d v="2024-09-26T00:00:00"/>
    <x v="0"/>
    <x v="2"/>
    <x v="10"/>
    <n v="472.74"/>
    <s v="Store D"/>
    <x v="1"/>
    <n v="0.15"/>
    <x v="3"/>
    <n v="4420.1190000000006"/>
    <x v="2"/>
    <m/>
    <n v="1"/>
    <s v="REG100251"/>
    <x v="247"/>
    <n v="16.8"/>
    <x v="217"/>
    <d v="2024-10-01T00:00:00"/>
    <x v="0"/>
    <n v="5200.1400000000003"/>
    <n v="780.02100000000007"/>
    <n v="4420.1190000000006"/>
    <n v="5"/>
    <x v="183"/>
    <n v="0"/>
  </r>
  <r>
    <d v="2024-08-10T00:00:00"/>
    <x v="0"/>
    <x v="1"/>
    <x v="11"/>
    <n v="337.37"/>
    <s v="Store C"/>
    <x v="1"/>
    <n v="0.1"/>
    <x v="4"/>
    <n v="6072.66"/>
    <x v="1"/>
    <m/>
    <n v="0"/>
    <s v="REG100252"/>
    <x v="248"/>
    <n v="43.17"/>
    <x v="218"/>
    <d v="2024-08-17T00:00:00"/>
    <x v="0"/>
    <n v="6747.4"/>
    <n v="674.74"/>
    <n v="6072.66"/>
    <n v="7"/>
    <x v="184"/>
    <n v="0"/>
  </r>
  <r>
    <d v="2025-03-02T00:00:00"/>
    <x v="1"/>
    <x v="1"/>
    <x v="13"/>
    <n v="34.24"/>
    <s v="Store C"/>
    <x v="1"/>
    <n v="0.1"/>
    <x v="2"/>
    <n v="369.79199999999997"/>
    <x v="4"/>
    <m/>
    <n v="0"/>
    <s v="REG100253"/>
    <x v="249"/>
    <n v="17.64"/>
    <x v="219"/>
    <d v="2025-03-10T00:00:00"/>
    <x v="1"/>
    <n v="410.88"/>
    <n v="41.088000000000001"/>
    <n v="369.79199999999997"/>
    <n v="8"/>
    <x v="185"/>
    <n v="0"/>
  </r>
  <r>
    <d v="2023-02-21T00:00:00"/>
    <x v="0"/>
    <x v="5"/>
    <x v="15"/>
    <n v="477.05"/>
    <s v="Store B"/>
    <x v="0"/>
    <n v="0"/>
    <x v="3"/>
    <n v="1908.2"/>
    <x v="2"/>
    <s v="WINTER15"/>
    <n v="0"/>
    <s v="REG100254"/>
    <x v="250"/>
    <n v="45.54"/>
    <x v="220"/>
    <d v="2023-03-02T00:00:00"/>
    <x v="0"/>
    <n v="1908.2"/>
    <n v="0"/>
    <n v="1908.2"/>
    <n v="9"/>
    <x v="0"/>
    <n v="0"/>
  </r>
  <r>
    <d v="2024-11-20T00:00:00"/>
    <x v="0"/>
    <x v="0"/>
    <x v="16"/>
    <n v="562.92999999999995"/>
    <s v="Store C"/>
    <x v="1"/>
    <n v="0"/>
    <x v="1"/>
    <n v="3377.58"/>
    <x v="2"/>
    <s v="WINTER15"/>
    <n v="0"/>
    <s v="REG100255"/>
    <x v="251"/>
    <n v="43.73"/>
    <x v="221"/>
    <d v="2024-11-27T00:00:00"/>
    <x v="0"/>
    <n v="3377.58"/>
    <n v="0"/>
    <n v="3377.58"/>
    <n v="7"/>
    <x v="0"/>
    <n v="0"/>
  </r>
  <r>
    <d v="2023-08-26T00:00:00"/>
    <x v="0"/>
    <x v="3"/>
    <x v="11"/>
    <n v="18.29"/>
    <s v="Store B"/>
    <x v="1"/>
    <n v="0"/>
    <x v="4"/>
    <n v="365.8"/>
    <x v="3"/>
    <s v="FREESHIP"/>
    <n v="1"/>
    <s v="REG100256"/>
    <x v="252"/>
    <n v="35.369999999999997"/>
    <x v="222"/>
    <d v="2023-08-29T00:00:00"/>
    <x v="0"/>
    <n v="365.79999999999995"/>
    <n v="0"/>
    <n v="365.79999999999995"/>
    <n v="3"/>
    <x v="0"/>
    <n v="0"/>
  </r>
  <r>
    <d v="2024-01-01T00:00:00"/>
    <x v="1"/>
    <x v="4"/>
    <x v="4"/>
    <n v="208.86"/>
    <s v="Store B"/>
    <x v="1"/>
    <n v="0"/>
    <x v="2"/>
    <n v="1462.02"/>
    <x v="4"/>
    <s v="FREESHIP"/>
    <n v="0"/>
    <s v="REG100257"/>
    <x v="253"/>
    <n v="20.64"/>
    <x v="223"/>
    <d v="2024-01-08T00:00:00"/>
    <x v="1"/>
    <n v="1462.02"/>
    <n v="0"/>
    <n v="1462.02"/>
    <n v="7"/>
    <x v="0"/>
    <n v="0"/>
  </r>
  <r>
    <d v="2024-11-24T00:00:00"/>
    <x v="1"/>
    <x v="6"/>
    <x v="13"/>
    <n v="330.36"/>
    <s v="Store D"/>
    <x v="1"/>
    <n v="0.05"/>
    <x v="4"/>
    <n v="3766.1039999999998"/>
    <x v="4"/>
    <s v="WINTER15"/>
    <n v="0"/>
    <s v="REG100258"/>
    <x v="254"/>
    <n v="48.33"/>
    <x v="224"/>
    <d v="2024-11-30T00:00:00"/>
    <x v="1"/>
    <n v="3964.32"/>
    <n v="198.21600000000001"/>
    <n v="3766.1040000000003"/>
    <n v="6"/>
    <x v="186"/>
    <n v="0"/>
  </r>
  <r>
    <d v="2024-08-25T00:00:00"/>
    <x v="1"/>
    <x v="5"/>
    <x v="4"/>
    <n v="50.26"/>
    <s v="Store C"/>
    <x v="1"/>
    <n v="0.15"/>
    <x v="4"/>
    <n v="299.04700000000003"/>
    <x v="4"/>
    <m/>
    <n v="0"/>
    <s v="REG100259"/>
    <x v="255"/>
    <n v="17.12"/>
    <x v="225"/>
    <d v="2024-09-01T00:00:00"/>
    <x v="1"/>
    <n v="351.82"/>
    <n v="52.772999999999996"/>
    <n v="299.04700000000003"/>
    <n v="7"/>
    <x v="187"/>
    <n v="0"/>
  </r>
  <r>
    <d v="2023-06-10T00:00:00"/>
    <x v="1"/>
    <x v="0"/>
    <x v="3"/>
    <n v="374.59"/>
    <s v="Store C"/>
    <x v="0"/>
    <n v="0.15"/>
    <x v="3"/>
    <n v="636.803"/>
    <x v="0"/>
    <s v="SAVE10"/>
    <n v="0"/>
    <s v="REG100260"/>
    <x v="256"/>
    <n v="34.64"/>
    <x v="226"/>
    <d v="2023-06-18T00:00:00"/>
    <x v="1"/>
    <n v="749.18"/>
    <n v="112.377"/>
    <n v="636.803"/>
    <n v="8"/>
    <x v="188"/>
    <n v="0"/>
  </r>
  <r>
    <d v="2024-12-18T00:00:00"/>
    <x v="2"/>
    <x v="6"/>
    <x v="4"/>
    <n v="467.6"/>
    <s v="Store A"/>
    <x v="1"/>
    <n v="0.1"/>
    <x v="3"/>
    <n v="2945.88"/>
    <x v="3"/>
    <m/>
    <n v="0"/>
    <s v="REG100261"/>
    <x v="257"/>
    <n v="15.64"/>
    <x v="227"/>
    <d v="2024-12-26T00:00:00"/>
    <x v="2"/>
    <n v="3273.2000000000003"/>
    <n v="327.32000000000005"/>
    <n v="2945.88"/>
    <n v="8"/>
    <x v="189"/>
    <n v="0"/>
  </r>
  <r>
    <d v="2023-08-28T00:00:00"/>
    <x v="0"/>
    <x v="3"/>
    <x v="5"/>
    <n v="376.24"/>
    <s v="Store A"/>
    <x v="1"/>
    <n v="0.05"/>
    <x v="2"/>
    <n v="1072.2840000000001"/>
    <x v="3"/>
    <s v="FREESHIP"/>
    <n v="1"/>
    <s v="REG100262"/>
    <x v="258"/>
    <n v="6.15"/>
    <x v="228"/>
    <d v="2023-09-01T00:00:00"/>
    <x v="0"/>
    <n v="1128.72"/>
    <n v="56.436000000000007"/>
    <n v="1072.2840000000001"/>
    <n v="4"/>
    <x v="190"/>
    <n v="0"/>
  </r>
  <r>
    <d v="2023-01-22T00:00:00"/>
    <x v="4"/>
    <x v="1"/>
    <x v="14"/>
    <n v="140.49"/>
    <s v="Store A"/>
    <x v="1"/>
    <n v="0"/>
    <x v="0"/>
    <n v="1826.37"/>
    <x v="3"/>
    <s v="SAVE10"/>
    <n v="0"/>
    <s v="REG100263"/>
    <x v="259"/>
    <n v="17.690000000000001"/>
    <x v="229"/>
    <d v="2023-01-31T00:00:00"/>
    <x v="4"/>
    <n v="1826.3700000000001"/>
    <n v="0"/>
    <n v="1826.3700000000001"/>
    <n v="9"/>
    <x v="0"/>
    <n v="0"/>
  </r>
  <r>
    <d v="2023-02-07T00:00:00"/>
    <x v="2"/>
    <x v="4"/>
    <x v="5"/>
    <n v="506.33"/>
    <s v="Store B"/>
    <x v="1"/>
    <n v="0.15"/>
    <x v="2"/>
    <n v="1291.1415"/>
    <x v="3"/>
    <s v="FREESHIP"/>
    <n v="0"/>
    <s v="REG100264"/>
    <x v="260"/>
    <n v="25.71"/>
    <x v="230"/>
    <d v="2023-02-14T00:00:00"/>
    <x v="2"/>
    <n v="1518.99"/>
    <n v="227.8485"/>
    <n v="1291.1415"/>
    <n v="7"/>
    <x v="191"/>
    <n v="0"/>
  </r>
  <r>
    <d v="2023-11-22T00:00:00"/>
    <x v="1"/>
    <x v="4"/>
    <x v="19"/>
    <n v="138.72999999999999"/>
    <s v="Store A"/>
    <x v="0"/>
    <n v="0.05"/>
    <x v="2"/>
    <n v="1054.348"/>
    <x v="0"/>
    <s v="WINTER15"/>
    <n v="1"/>
    <s v="REG100265"/>
    <x v="261"/>
    <n v="48.51"/>
    <x v="231"/>
    <d v="2023-11-29T00:00:00"/>
    <x v="1"/>
    <n v="1109.8399999999999"/>
    <n v="55.491999999999997"/>
    <n v="1054.348"/>
    <n v="7"/>
    <x v="192"/>
    <n v="0"/>
  </r>
  <r>
    <d v="2023-01-25T00:00:00"/>
    <x v="4"/>
    <x v="2"/>
    <x v="16"/>
    <n v="134.53"/>
    <s v="Store C"/>
    <x v="1"/>
    <n v="0.15"/>
    <x v="3"/>
    <n v="686.10300000000007"/>
    <x v="3"/>
    <s v="FREESHIP"/>
    <n v="1"/>
    <s v="REG100266"/>
    <x v="262"/>
    <n v="33.5"/>
    <x v="232"/>
    <d v="2023-01-29T00:00:00"/>
    <x v="4"/>
    <n v="807.18000000000006"/>
    <n v="121.077"/>
    <n v="686.10300000000007"/>
    <n v="4"/>
    <x v="193"/>
    <n v="0"/>
  </r>
  <r>
    <d v="2025-03-05T00:00:00"/>
    <x v="1"/>
    <x v="5"/>
    <x v="2"/>
    <n v="375.96"/>
    <s v="Store D"/>
    <x v="0"/>
    <n v="0.05"/>
    <x v="4"/>
    <n v="6428.9159999999993"/>
    <x v="3"/>
    <s v="SAVE10"/>
    <n v="0"/>
    <s v="REG100267"/>
    <x v="263"/>
    <n v="26.78"/>
    <x v="9"/>
    <d v="2025-03-09T00:00:00"/>
    <x v="1"/>
    <n v="6767.28"/>
    <n v="338.36400000000003"/>
    <n v="6428.9159999999993"/>
    <n v="4"/>
    <x v="194"/>
    <n v="0"/>
  </r>
  <r>
    <d v="2023-02-02T00:00:00"/>
    <x v="2"/>
    <x v="6"/>
    <x v="12"/>
    <n v="538.47"/>
    <s v="Store D"/>
    <x v="1"/>
    <n v="0.1"/>
    <x v="5"/>
    <n v="4846.2299999999996"/>
    <x v="1"/>
    <s v="WINTER15"/>
    <n v="1"/>
    <s v="REG100268"/>
    <x v="264"/>
    <n v="17.25"/>
    <x v="233"/>
    <d v="2023-02-12T00:00:00"/>
    <x v="2"/>
    <n v="5384.7000000000007"/>
    <n v="538.47000000000014"/>
    <n v="4846.2300000000005"/>
    <n v="10"/>
    <x v="195"/>
    <n v="0"/>
  </r>
  <r>
    <d v="2023-05-24T00:00:00"/>
    <x v="2"/>
    <x v="5"/>
    <x v="7"/>
    <n v="505.44"/>
    <s v="Store A"/>
    <x v="0"/>
    <n v="0.1"/>
    <x v="1"/>
    <n v="6823.4400000000014"/>
    <x v="0"/>
    <s v="SAVE10"/>
    <n v="0"/>
    <s v="REG100269"/>
    <x v="265"/>
    <n v="37.5"/>
    <x v="56"/>
    <d v="2023-06-01T00:00:00"/>
    <x v="2"/>
    <n v="7581.6"/>
    <n v="758.16000000000008"/>
    <n v="6823.4400000000005"/>
    <n v="8"/>
    <x v="196"/>
    <n v="0"/>
  </r>
  <r>
    <d v="2024-05-30T00:00:00"/>
    <x v="1"/>
    <x v="6"/>
    <x v="15"/>
    <n v="312.08999999999997"/>
    <s v="Store C"/>
    <x v="0"/>
    <n v="0.15"/>
    <x v="4"/>
    <n v="1061.106"/>
    <x v="3"/>
    <s v="SAVE10"/>
    <n v="1"/>
    <s v="REG100270"/>
    <x v="39"/>
    <n v="17.989999999999998"/>
    <x v="234"/>
    <d v="2024-06-06T00:00:00"/>
    <x v="1"/>
    <n v="1248.3599999999999"/>
    <n v="187.25399999999999"/>
    <n v="1061.106"/>
    <n v="7"/>
    <x v="197"/>
    <n v="0"/>
  </r>
  <r>
    <d v="2024-01-23T00:00:00"/>
    <x v="4"/>
    <x v="2"/>
    <x v="7"/>
    <n v="579.58000000000004"/>
    <s v="Store C"/>
    <x v="1"/>
    <n v="0.15"/>
    <x v="0"/>
    <n v="7389.6450000000004"/>
    <x v="2"/>
    <m/>
    <n v="0"/>
    <s v="REG100271"/>
    <x v="266"/>
    <n v="31.22"/>
    <x v="145"/>
    <d v="2024-01-31T00:00:00"/>
    <x v="4"/>
    <n v="8693.7000000000007"/>
    <n v="1304.0550000000001"/>
    <n v="7389.6450000000004"/>
    <n v="8"/>
    <x v="198"/>
    <n v="0"/>
  </r>
  <r>
    <d v="2023-02-06T00:00:00"/>
    <x v="2"/>
    <x v="3"/>
    <x v="12"/>
    <n v="217.43"/>
    <s v="Store A"/>
    <x v="1"/>
    <n v="0.15"/>
    <x v="5"/>
    <n v="1848.155"/>
    <x v="2"/>
    <s v="FREESHIP"/>
    <n v="0"/>
    <s v="REG100272"/>
    <x v="267"/>
    <n v="33.14"/>
    <x v="235"/>
    <d v="2023-02-15T00:00:00"/>
    <x v="2"/>
    <n v="2174.3000000000002"/>
    <n v="326.14500000000004"/>
    <n v="1848.1550000000002"/>
    <n v="9"/>
    <x v="199"/>
    <n v="0"/>
  </r>
  <r>
    <d v="2024-07-15T00:00:00"/>
    <x v="4"/>
    <x v="1"/>
    <x v="7"/>
    <n v="476.15"/>
    <s v="Store B"/>
    <x v="0"/>
    <n v="0.05"/>
    <x v="3"/>
    <n v="6785.1374999999998"/>
    <x v="0"/>
    <s v="SAVE10"/>
    <n v="0"/>
    <s v="REG100273"/>
    <x v="268"/>
    <n v="24.48"/>
    <x v="236"/>
    <d v="2024-07-19T00:00:00"/>
    <x v="4"/>
    <n v="7142.25"/>
    <n v="357.11250000000001"/>
    <n v="6785.1374999999998"/>
    <n v="4"/>
    <x v="200"/>
    <n v="0"/>
  </r>
  <r>
    <d v="2025-03-06T00:00:00"/>
    <x v="0"/>
    <x v="3"/>
    <x v="6"/>
    <n v="89.03"/>
    <s v="Store C"/>
    <x v="0"/>
    <n v="0.1"/>
    <x v="2"/>
    <n v="400.63499999999999"/>
    <x v="3"/>
    <s v="WINTER15"/>
    <n v="0"/>
    <s v="REG100274"/>
    <x v="269"/>
    <n v="22.42"/>
    <x v="55"/>
    <d v="2025-03-16T00:00:00"/>
    <x v="0"/>
    <n v="445.15"/>
    <n v="44.515000000000001"/>
    <n v="400.63499999999999"/>
    <n v="10"/>
    <x v="201"/>
    <n v="0"/>
  </r>
  <r>
    <d v="2023-07-29T00:00:00"/>
    <x v="3"/>
    <x v="1"/>
    <x v="9"/>
    <n v="6.88"/>
    <s v="Store A"/>
    <x v="1"/>
    <n v="0.1"/>
    <x v="2"/>
    <n v="105.264"/>
    <x v="1"/>
    <m/>
    <n v="0"/>
    <s v="REG100275"/>
    <x v="270"/>
    <n v="42.37"/>
    <x v="237"/>
    <d v="2023-08-08T00:00:00"/>
    <x v="3"/>
    <n v="116.96"/>
    <n v="11.696"/>
    <n v="105.264"/>
    <n v="10"/>
    <x v="202"/>
    <n v="0"/>
  </r>
  <r>
    <d v="2023-07-26T00:00:00"/>
    <x v="2"/>
    <x v="6"/>
    <x v="16"/>
    <n v="355.26"/>
    <s v="Store D"/>
    <x v="1"/>
    <n v="0.1"/>
    <x v="5"/>
    <n v="1918.404"/>
    <x v="0"/>
    <s v="WINTER15"/>
    <n v="0"/>
    <s v="REG100276"/>
    <x v="271"/>
    <n v="30.49"/>
    <x v="238"/>
    <d v="2023-07-29T00:00:00"/>
    <x v="2"/>
    <n v="2131.56"/>
    <n v="213.15600000000001"/>
    <n v="1918.404"/>
    <n v="3"/>
    <x v="203"/>
    <n v="0"/>
  </r>
  <r>
    <d v="2024-04-10T00:00:00"/>
    <x v="4"/>
    <x v="5"/>
    <x v="19"/>
    <n v="294.76"/>
    <s v="Store C"/>
    <x v="1"/>
    <n v="0.1"/>
    <x v="4"/>
    <n v="2122.2719999999999"/>
    <x v="0"/>
    <s v="SAVE10"/>
    <n v="0"/>
    <s v="REG100277"/>
    <x v="272"/>
    <n v="36.04"/>
    <x v="10"/>
    <d v="2024-04-13T00:00:00"/>
    <x v="4"/>
    <n v="2358.08"/>
    <n v="235.80799999999999"/>
    <n v="2122.2719999999999"/>
    <n v="3"/>
    <x v="204"/>
    <n v="0"/>
  </r>
  <r>
    <d v="2025-01-24T00:00:00"/>
    <x v="2"/>
    <x v="2"/>
    <x v="18"/>
    <n v="60.69"/>
    <s v="Store A"/>
    <x v="0"/>
    <n v="0"/>
    <x v="3"/>
    <n v="971.04"/>
    <x v="2"/>
    <s v="WINTER15"/>
    <n v="0"/>
    <s v="REG100278"/>
    <x v="273"/>
    <n v="7.03"/>
    <x v="239"/>
    <d v="2025-01-27T00:00:00"/>
    <x v="2"/>
    <n v="971.04"/>
    <n v="0"/>
    <n v="971.04"/>
    <n v="3"/>
    <x v="0"/>
    <n v="0"/>
  </r>
  <r>
    <d v="2025-04-27T00:00:00"/>
    <x v="4"/>
    <x v="0"/>
    <x v="3"/>
    <n v="559.63"/>
    <s v="Store B"/>
    <x v="0"/>
    <n v="0.1"/>
    <x v="4"/>
    <n v="1007.3339999999999"/>
    <x v="2"/>
    <s v="WINTER15"/>
    <n v="1"/>
    <s v="REG100279"/>
    <x v="274"/>
    <n v="42.34"/>
    <x v="240"/>
    <d v="2025-05-03T00:00:00"/>
    <x v="4"/>
    <n v="1119.26"/>
    <n v="111.926"/>
    <n v="1007.3339999999999"/>
    <n v="6"/>
    <x v="205"/>
    <n v="0"/>
  </r>
  <r>
    <d v="2025-02-20T00:00:00"/>
    <x v="0"/>
    <x v="1"/>
    <x v="15"/>
    <n v="232.66"/>
    <s v="Store B"/>
    <x v="0"/>
    <n v="0.1"/>
    <x v="2"/>
    <n v="837.57600000000002"/>
    <x v="0"/>
    <s v="WINTER15"/>
    <n v="0"/>
    <s v="REG100280"/>
    <x v="275"/>
    <n v="11.88"/>
    <x v="241"/>
    <d v="2025-02-23T00:00:00"/>
    <x v="0"/>
    <n v="930.64"/>
    <n v="93.064000000000007"/>
    <n v="837.57600000000002"/>
    <n v="3"/>
    <x v="206"/>
    <n v="0"/>
  </r>
  <r>
    <d v="2023-09-14T00:00:00"/>
    <x v="2"/>
    <x v="6"/>
    <x v="12"/>
    <n v="230.87"/>
    <s v="Store A"/>
    <x v="1"/>
    <n v="0.15"/>
    <x v="5"/>
    <n v="1962.395"/>
    <x v="3"/>
    <s v="SAVE10"/>
    <n v="0"/>
    <s v="REG100281"/>
    <x v="222"/>
    <n v="28.33"/>
    <x v="242"/>
    <d v="2023-09-19T00:00:00"/>
    <x v="2"/>
    <n v="2308.6999999999998"/>
    <n v="346.30499999999995"/>
    <n v="1962.395"/>
    <n v="5"/>
    <x v="207"/>
    <n v="0"/>
  </r>
  <r>
    <d v="2024-04-17T00:00:00"/>
    <x v="4"/>
    <x v="5"/>
    <x v="4"/>
    <n v="353.9"/>
    <s v="Store C"/>
    <x v="0"/>
    <n v="0.15"/>
    <x v="1"/>
    <n v="2105.7049999999999"/>
    <x v="3"/>
    <s v="SAVE10"/>
    <n v="1"/>
    <s v="REG100282"/>
    <x v="276"/>
    <n v="15.74"/>
    <x v="243"/>
    <d v="2024-04-27T00:00:00"/>
    <x v="4"/>
    <n v="2477.2999999999997"/>
    <n v="371.59499999999997"/>
    <n v="2105.7049999999999"/>
    <n v="10"/>
    <x v="208"/>
    <n v="0"/>
  </r>
  <r>
    <d v="2024-11-14T00:00:00"/>
    <x v="3"/>
    <x v="5"/>
    <x v="13"/>
    <n v="561.07000000000005"/>
    <s v="Store A"/>
    <x v="1"/>
    <n v="0"/>
    <x v="1"/>
    <n v="6732.84"/>
    <x v="1"/>
    <m/>
    <n v="0"/>
    <s v="REG100283"/>
    <x v="277"/>
    <n v="35.020000000000003"/>
    <x v="244"/>
    <d v="2024-11-18T00:00:00"/>
    <x v="3"/>
    <n v="6732.84"/>
    <n v="0"/>
    <n v="6732.84"/>
    <n v="4"/>
    <x v="0"/>
    <n v="0"/>
  </r>
  <r>
    <d v="2024-07-25T00:00:00"/>
    <x v="2"/>
    <x v="3"/>
    <x v="7"/>
    <n v="247.21"/>
    <s v="Store D"/>
    <x v="0"/>
    <n v="0.1"/>
    <x v="5"/>
    <n v="3337.335"/>
    <x v="1"/>
    <m/>
    <n v="0"/>
    <s v="REG100284"/>
    <x v="278"/>
    <n v="45.42"/>
    <x v="245"/>
    <d v="2024-07-27T00:00:00"/>
    <x v="2"/>
    <n v="3708.15"/>
    <n v="370.81500000000005"/>
    <n v="3337.335"/>
    <n v="2"/>
    <x v="209"/>
    <n v="0"/>
  </r>
  <r>
    <d v="2024-08-05T00:00:00"/>
    <x v="0"/>
    <x v="1"/>
    <x v="8"/>
    <n v="271.22000000000003"/>
    <s v="Store A"/>
    <x v="0"/>
    <n v="0.1"/>
    <x v="1"/>
    <n v="4637.8620000000001"/>
    <x v="2"/>
    <s v="WINTER15"/>
    <n v="0"/>
    <s v="REG100285"/>
    <x v="279"/>
    <n v="35.33"/>
    <x v="186"/>
    <d v="2024-08-15T00:00:00"/>
    <x v="0"/>
    <n v="5153.18"/>
    <n v="515.3180000000001"/>
    <n v="4637.8620000000001"/>
    <n v="10"/>
    <x v="210"/>
    <n v="0"/>
  </r>
  <r>
    <d v="2025-01-23T00:00:00"/>
    <x v="4"/>
    <x v="0"/>
    <x v="16"/>
    <n v="532.54"/>
    <s v="Store A"/>
    <x v="0"/>
    <n v="0"/>
    <x v="4"/>
    <n v="3195.24"/>
    <x v="3"/>
    <m/>
    <n v="1"/>
    <s v="REG100286"/>
    <x v="280"/>
    <n v="25.09"/>
    <x v="187"/>
    <d v="2025-02-02T00:00:00"/>
    <x v="4"/>
    <n v="3195.24"/>
    <n v="0"/>
    <n v="3195.24"/>
    <n v="10"/>
    <x v="0"/>
    <n v="0"/>
  </r>
  <r>
    <d v="2025-04-27T00:00:00"/>
    <x v="4"/>
    <x v="6"/>
    <x v="18"/>
    <n v="329.54"/>
    <s v="Store A"/>
    <x v="0"/>
    <n v="0.15"/>
    <x v="5"/>
    <n v="4481.7440000000006"/>
    <x v="3"/>
    <s v="FREESHIP"/>
    <n v="1"/>
    <s v="REG100287"/>
    <x v="281"/>
    <n v="39.39"/>
    <x v="240"/>
    <d v="2025-05-03T00:00:00"/>
    <x v="4"/>
    <n v="5272.64"/>
    <n v="790.89600000000007"/>
    <n v="4481.7440000000006"/>
    <n v="6"/>
    <x v="211"/>
    <n v="0"/>
  </r>
  <r>
    <d v="2024-09-20T00:00:00"/>
    <x v="1"/>
    <x v="1"/>
    <x v="16"/>
    <n v="170.1"/>
    <s v="Store A"/>
    <x v="1"/>
    <n v="0"/>
    <x v="0"/>
    <n v="1020.6"/>
    <x v="1"/>
    <s v="FREESHIP"/>
    <n v="0"/>
    <s v="REG100288"/>
    <x v="282"/>
    <n v="38.61"/>
    <x v="246"/>
    <d v="2024-09-23T00:00:00"/>
    <x v="1"/>
    <n v="1020.5999999999999"/>
    <n v="0"/>
    <n v="1020.5999999999999"/>
    <n v="3"/>
    <x v="0"/>
    <n v="0"/>
  </r>
  <r>
    <d v="2023-09-08T00:00:00"/>
    <x v="4"/>
    <x v="0"/>
    <x v="8"/>
    <n v="212.83"/>
    <s v="Store D"/>
    <x v="0"/>
    <n v="0.15"/>
    <x v="3"/>
    <n v="3437.2044999999998"/>
    <x v="0"/>
    <s v="WINTER15"/>
    <n v="0"/>
    <s v="REG100289"/>
    <x v="283"/>
    <n v="42.88"/>
    <x v="247"/>
    <d v="2023-09-15T00:00:00"/>
    <x v="4"/>
    <n v="4043.7700000000004"/>
    <n v="606.56550000000004"/>
    <n v="3437.2045000000003"/>
    <n v="7"/>
    <x v="212"/>
    <n v="0"/>
  </r>
  <r>
    <d v="2025-04-20T00:00:00"/>
    <x v="1"/>
    <x v="0"/>
    <x v="6"/>
    <n v="578.91999999999996"/>
    <s v="Store A"/>
    <x v="0"/>
    <n v="0"/>
    <x v="5"/>
    <n v="2894.6"/>
    <x v="2"/>
    <m/>
    <n v="1"/>
    <s v="REG100290"/>
    <x v="284"/>
    <n v="44.09"/>
    <x v="248"/>
    <d v="2025-04-28T00:00:00"/>
    <x v="1"/>
    <n v="2894.6"/>
    <n v="0"/>
    <n v="2894.6"/>
    <n v="8"/>
    <x v="0"/>
    <n v="0"/>
  </r>
  <r>
    <d v="2024-06-20T00:00:00"/>
    <x v="2"/>
    <x v="1"/>
    <x v="5"/>
    <n v="456.92"/>
    <s v="Store C"/>
    <x v="1"/>
    <n v="0.1"/>
    <x v="2"/>
    <n v="1233.684"/>
    <x v="1"/>
    <s v="FREESHIP"/>
    <n v="0"/>
    <s v="REG100291"/>
    <x v="285"/>
    <n v="17.57"/>
    <x v="249"/>
    <d v="2024-06-27T00:00:00"/>
    <x v="2"/>
    <n v="1370.76"/>
    <n v="137.07599999999999"/>
    <n v="1233.684"/>
    <n v="7"/>
    <x v="213"/>
    <n v="0"/>
  </r>
  <r>
    <d v="2023-01-11T00:00:00"/>
    <x v="0"/>
    <x v="5"/>
    <x v="13"/>
    <n v="521.53"/>
    <s v="Store D"/>
    <x v="1"/>
    <n v="0"/>
    <x v="0"/>
    <n v="6258.36"/>
    <x v="2"/>
    <s v="SAVE10"/>
    <n v="1"/>
    <s v="REG100292"/>
    <x v="286"/>
    <n v="49.59"/>
    <x v="6"/>
    <d v="2023-01-20T00:00:00"/>
    <x v="0"/>
    <n v="6258.36"/>
    <n v="0"/>
    <n v="6258.36"/>
    <n v="9"/>
    <x v="0"/>
    <n v="0"/>
  </r>
  <r>
    <d v="2023-07-04T00:00:00"/>
    <x v="2"/>
    <x v="2"/>
    <x v="9"/>
    <n v="468.19"/>
    <s v="Store D"/>
    <x v="1"/>
    <n v="0.05"/>
    <x v="4"/>
    <n v="7561.2684999999992"/>
    <x v="4"/>
    <m/>
    <n v="0"/>
    <s v="REG100293"/>
    <x v="287"/>
    <n v="13.84"/>
    <x v="250"/>
    <d v="2023-07-07T00:00:00"/>
    <x v="2"/>
    <n v="7959.23"/>
    <n v="397.9615"/>
    <n v="7561.2684999999992"/>
    <n v="3"/>
    <x v="214"/>
    <n v="0"/>
  </r>
  <r>
    <d v="2025-03-08T00:00:00"/>
    <x v="3"/>
    <x v="4"/>
    <x v="17"/>
    <n v="8.81"/>
    <s v="Store D"/>
    <x v="1"/>
    <n v="0.15"/>
    <x v="1"/>
    <n v="67.396500000000003"/>
    <x v="0"/>
    <s v="SAVE10"/>
    <n v="0"/>
    <s v="REG100294"/>
    <x v="288"/>
    <n v="42.7"/>
    <x v="251"/>
    <d v="2025-03-18T00:00:00"/>
    <x v="3"/>
    <n v="79.290000000000006"/>
    <n v="11.893500000000001"/>
    <n v="67.396500000000003"/>
    <n v="10"/>
    <x v="215"/>
    <n v="0"/>
  </r>
  <r>
    <d v="2025-02-10T00:00:00"/>
    <x v="1"/>
    <x v="3"/>
    <x v="16"/>
    <n v="521.1"/>
    <s v="Store A"/>
    <x v="0"/>
    <n v="0.15"/>
    <x v="2"/>
    <n v="2657.61"/>
    <x v="4"/>
    <m/>
    <n v="0"/>
    <s v="REG100295"/>
    <x v="289"/>
    <n v="31.14"/>
    <x v="252"/>
    <d v="2025-02-12T00:00:00"/>
    <x v="1"/>
    <n v="3126.6000000000004"/>
    <n v="468.99"/>
    <n v="2657.6100000000006"/>
    <n v="2"/>
    <x v="216"/>
    <n v="0"/>
  </r>
  <r>
    <d v="2025-03-17T00:00:00"/>
    <x v="4"/>
    <x v="4"/>
    <x v="12"/>
    <n v="289.91000000000003"/>
    <s v="Store C"/>
    <x v="1"/>
    <n v="0.1"/>
    <x v="4"/>
    <n v="2609.190000000001"/>
    <x v="4"/>
    <s v="SAVE10"/>
    <n v="0"/>
    <s v="REG100296"/>
    <x v="290"/>
    <n v="32.96"/>
    <x v="253"/>
    <d v="2025-03-21T00:00:00"/>
    <x v="4"/>
    <n v="2899.1000000000004"/>
    <n v="289.91000000000003"/>
    <n v="2609.1900000000005"/>
    <n v="4"/>
    <x v="217"/>
    <n v="0"/>
  </r>
  <r>
    <d v="2023-11-09T00:00:00"/>
    <x v="0"/>
    <x v="6"/>
    <x v="5"/>
    <n v="142.27000000000001"/>
    <s v="Store D"/>
    <x v="1"/>
    <n v="0.05"/>
    <x v="5"/>
    <n v="405.46949999999998"/>
    <x v="0"/>
    <s v="SAVE10"/>
    <n v="0"/>
    <s v="REG100297"/>
    <x v="291"/>
    <n v="32.799999999999997"/>
    <x v="254"/>
    <d v="2023-11-15T00:00:00"/>
    <x v="0"/>
    <n v="426.81000000000006"/>
    <n v="21.340500000000006"/>
    <n v="405.46950000000004"/>
    <n v="6"/>
    <x v="218"/>
    <n v="0"/>
  </r>
  <r>
    <d v="2023-11-30T00:00:00"/>
    <x v="3"/>
    <x v="6"/>
    <x v="7"/>
    <n v="354.09"/>
    <s v="Store B"/>
    <x v="1"/>
    <n v="0.05"/>
    <x v="3"/>
    <n v="5045.7824999999993"/>
    <x v="0"/>
    <m/>
    <n v="1"/>
    <s v="REG100298"/>
    <x v="292"/>
    <n v="25.3"/>
    <x v="18"/>
    <d v="2023-12-08T00:00:00"/>
    <x v="3"/>
    <n v="5311.3499999999995"/>
    <n v="265.5675"/>
    <n v="5045.7824999999993"/>
    <n v="8"/>
    <x v="219"/>
    <n v="0"/>
  </r>
  <r>
    <d v="2024-08-15T00:00:00"/>
    <x v="1"/>
    <x v="5"/>
    <x v="11"/>
    <n v="358.57"/>
    <s v="Store B"/>
    <x v="0"/>
    <n v="0"/>
    <x v="1"/>
    <n v="7171.4"/>
    <x v="3"/>
    <s v="FREESHIP"/>
    <n v="1"/>
    <s v="REG100299"/>
    <x v="293"/>
    <n v="21.11"/>
    <x v="255"/>
    <d v="2024-08-20T00:00:00"/>
    <x v="1"/>
    <n v="7171.4"/>
    <n v="0"/>
    <n v="7171.4"/>
    <n v="5"/>
    <x v="0"/>
    <n v="0"/>
  </r>
  <r>
    <d v="2023-03-21T00:00:00"/>
    <x v="4"/>
    <x v="5"/>
    <x v="18"/>
    <n v="33.18"/>
    <s v="Store C"/>
    <x v="1"/>
    <n v="0.05"/>
    <x v="0"/>
    <n v="504.33600000000001"/>
    <x v="0"/>
    <s v="SAVE10"/>
    <n v="0"/>
    <s v="REG100300"/>
    <x v="294"/>
    <n v="22.94"/>
    <x v="256"/>
    <d v="2023-03-26T00:00:00"/>
    <x v="4"/>
    <n v="530.88"/>
    <n v="26.544"/>
    <n v="504.33600000000001"/>
    <n v="5"/>
    <x v="220"/>
    <n v="0"/>
  </r>
  <r>
    <d v="2023-10-26T00:00:00"/>
    <x v="4"/>
    <x v="4"/>
    <x v="3"/>
    <n v="124.4"/>
    <s v="Store B"/>
    <x v="1"/>
    <n v="0"/>
    <x v="0"/>
    <n v="248.8"/>
    <x v="0"/>
    <m/>
    <n v="0"/>
    <s v="REG100301"/>
    <x v="295"/>
    <n v="37.049999999999997"/>
    <x v="71"/>
    <d v="2023-10-31T00:00:00"/>
    <x v="4"/>
    <n v="248.8"/>
    <n v="0"/>
    <n v="248.8"/>
    <n v="5"/>
    <x v="0"/>
    <n v="0"/>
  </r>
  <r>
    <d v="2023-11-03T00:00:00"/>
    <x v="4"/>
    <x v="1"/>
    <x v="13"/>
    <n v="17.760000000000002"/>
    <s v="Store D"/>
    <x v="1"/>
    <n v="0.1"/>
    <x v="3"/>
    <n v="191.80799999999999"/>
    <x v="0"/>
    <s v="FREESHIP"/>
    <n v="0"/>
    <s v="REG100302"/>
    <x v="296"/>
    <n v="12.18"/>
    <x v="257"/>
    <d v="2023-11-11T00:00:00"/>
    <x v="4"/>
    <n v="213.12"/>
    <n v="21.312000000000001"/>
    <n v="191.80799999999999"/>
    <n v="8"/>
    <x v="221"/>
    <n v="0"/>
  </r>
  <r>
    <d v="2025-01-30T00:00:00"/>
    <x v="2"/>
    <x v="3"/>
    <x v="18"/>
    <n v="345.53"/>
    <s v="Store C"/>
    <x v="1"/>
    <n v="0.15"/>
    <x v="2"/>
    <n v="4699.2079999999996"/>
    <x v="1"/>
    <s v="SAVE10"/>
    <n v="0"/>
    <s v="REG100303"/>
    <x v="297"/>
    <n v="13.43"/>
    <x v="258"/>
    <d v="2025-02-05T00:00:00"/>
    <x v="2"/>
    <n v="5528.48"/>
    <n v="829.27199999999993"/>
    <n v="4699.2079999999996"/>
    <n v="6"/>
    <x v="222"/>
    <n v="0"/>
  </r>
  <r>
    <d v="2024-01-25T00:00:00"/>
    <x v="4"/>
    <x v="0"/>
    <x v="14"/>
    <n v="453.48"/>
    <s v="Store A"/>
    <x v="0"/>
    <n v="0.05"/>
    <x v="1"/>
    <n v="5600.4779999999992"/>
    <x v="1"/>
    <s v="SAVE10"/>
    <n v="0"/>
    <s v="REG100304"/>
    <x v="298"/>
    <n v="46.28"/>
    <x v="109"/>
    <d v="2024-02-03T00:00:00"/>
    <x v="4"/>
    <n v="5895.24"/>
    <n v="294.762"/>
    <n v="5600.4780000000001"/>
    <n v="9"/>
    <x v="223"/>
    <n v="0"/>
  </r>
  <r>
    <d v="2025-03-29T00:00:00"/>
    <x v="1"/>
    <x v="0"/>
    <x v="12"/>
    <n v="277.74"/>
    <s v="Store B"/>
    <x v="1"/>
    <n v="0.15"/>
    <x v="3"/>
    <n v="2360.79"/>
    <x v="1"/>
    <s v="SAVE10"/>
    <n v="1"/>
    <s v="REG100305"/>
    <x v="299"/>
    <n v="35.020000000000003"/>
    <x v="259"/>
    <d v="2025-04-02T00:00:00"/>
    <x v="1"/>
    <n v="2777.4"/>
    <n v="416.61"/>
    <n v="2360.79"/>
    <n v="4"/>
    <x v="224"/>
    <n v="0"/>
  </r>
  <r>
    <d v="2024-11-02T00:00:00"/>
    <x v="3"/>
    <x v="3"/>
    <x v="18"/>
    <n v="89.76"/>
    <s v="Store A"/>
    <x v="0"/>
    <n v="0"/>
    <x v="1"/>
    <n v="1436.16"/>
    <x v="3"/>
    <s v="WINTER15"/>
    <n v="1"/>
    <s v="REG100306"/>
    <x v="300"/>
    <n v="44.69"/>
    <x v="260"/>
    <d v="2024-11-09T00:00:00"/>
    <x v="3"/>
    <n v="1436.16"/>
    <n v="0"/>
    <n v="1436.16"/>
    <n v="7"/>
    <x v="0"/>
    <n v="0"/>
  </r>
  <r>
    <d v="2024-06-30T00:00:00"/>
    <x v="3"/>
    <x v="3"/>
    <x v="10"/>
    <n v="535.37"/>
    <s v="Store D"/>
    <x v="0"/>
    <n v="0"/>
    <x v="2"/>
    <n v="5889.07"/>
    <x v="4"/>
    <m/>
    <n v="0"/>
    <s v="REG100307"/>
    <x v="301"/>
    <n v="35.96"/>
    <x v="261"/>
    <d v="2024-07-09T00:00:00"/>
    <x v="3"/>
    <n v="5889.07"/>
    <n v="0"/>
    <n v="5889.07"/>
    <n v="9"/>
    <x v="0"/>
    <n v="0"/>
  </r>
  <r>
    <d v="2023-01-11T00:00:00"/>
    <x v="1"/>
    <x v="5"/>
    <x v="17"/>
    <n v="15.58"/>
    <s v="Store D"/>
    <x v="1"/>
    <n v="0.1"/>
    <x v="2"/>
    <n v="126.19799999999999"/>
    <x v="1"/>
    <s v="FREESHIP"/>
    <n v="1"/>
    <s v="REG100308"/>
    <x v="302"/>
    <n v="27.81"/>
    <x v="6"/>
    <d v="2023-01-19T00:00:00"/>
    <x v="1"/>
    <n v="140.22"/>
    <n v="14.022"/>
    <n v="126.19799999999999"/>
    <n v="8"/>
    <x v="225"/>
    <n v="0"/>
  </r>
  <r>
    <d v="2025-06-05T00:00:00"/>
    <x v="2"/>
    <x v="2"/>
    <x v="14"/>
    <n v="466.54"/>
    <s v="Store C"/>
    <x v="0"/>
    <n v="0"/>
    <x v="0"/>
    <n v="6065.02"/>
    <x v="4"/>
    <s v="FREESHIP"/>
    <n v="0"/>
    <s v="REG100309"/>
    <x v="303"/>
    <n v="18.63"/>
    <x v="20"/>
    <d v="2025-06-14T00:00:00"/>
    <x v="2"/>
    <n v="6065.02"/>
    <n v="0"/>
    <n v="6065.02"/>
    <n v="9"/>
    <x v="0"/>
    <n v="0"/>
  </r>
  <r>
    <d v="2024-03-21T00:00:00"/>
    <x v="2"/>
    <x v="4"/>
    <x v="18"/>
    <n v="593"/>
    <s v="Store D"/>
    <x v="1"/>
    <n v="0.1"/>
    <x v="0"/>
    <n v="8539.2000000000007"/>
    <x v="1"/>
    <s v="SAVE10"/>
    <n v="0"/>
    <s v="REG100310"/>
    <x v="304"/>
    <n v="18.77"/>
    <x v="58"/>
    <d v="2024-03-24T00:00:00"/>
    <x v="2"/>
    <n v="9488"/>
    <n v="948.80000000000007"/>
    <n v="8539.2000000000007"/>
    <n v="3"/>
    <x v="226"/>
    <n v="0"/>
  </r>
  <r>
    <d v="2023-08-31T00:00:00"/>
    <x v="1"/>
    <x v="2"/>
    <x v="16"/>
    <n v="567.36"/>
    <s v="Store C"/>
    <x v="0"/>
    <n v="0.05"/>
    <x v="1"/>
    <n v="3233.9520000000002"/>
    <x v="1"/>
    <s v="WINTER15"/>
    <n v="0"/>
    <s v="REG100311"/>
    <x v="305"/>
    <n v="45.98"/>
    <x v="262"/>
    <d v="2023-09-08T00:00:00"/>
    <x v="1"/>
    <n v="3404.16"/>
    <n v="170.208"/>
    <n v="3233.9519999999998"/>
    <n v="8"/>
    <x v="227"/>
    <n v="0"/>
  </r>
  <r>
    <d v="2024-10-07T00:00:00"/>
    <x v="1"/>
    <x v="1"/>
    <x v="9"/>
    <n v="523.04"/>
    <s v="Store A"/>
    <x v="1"/>
    <n v="0.05"/>
    <x v="0"/>
    <n v="8447.0959999999995"/>
    <x v="3"/>
    <s v="FREESHIP"/>
    <n v="0"/>
    <s v="REG100312"/>
    <x v="306"/>
    <n v="37.380000000000003"/>
    <x v="263"/>
    <d v="2024-10-17T00:00:00"/>
    <x v="1"/>
    <n v="8891.68"/>
    <n v="444.58400000000006"/>
    <n v="8447.0959999999995"/>
    <n v="10"/>
    <x v="228"/>
    <n v="0"/>
  </r>
  <r>
    <d v="2023-04-12T00:00:00"/>
    <x v="2"/>
    <x v="0"/>
    <x v="9"/>
    <n v="376.4"/>
    <s v="Store C"/>
    <x v="0"/>
    <n v="0"/>
    <x v="1"/>
    <n v="6398.7999999999993"/>
    <x v="3"/>
    <s v="FREESHIP"/>
    <n v="0"/>
    <s v="REG100313"/>
    <x v="307"/>
    <n v="33.380000000000003"/>
    <x v="264"/>
    <d v="2023-04-15T00:00:00"/>
    <x v="2"/>
    <n v="6398.7999999999993"/>
    <n v="0"/>
    <n v="6398.7999999999993"/>
    <n v="3"/>
    <x v="0"/>
    <n v="0"/>
  </r>
  <r>
    <d v="2023-11-06T00:00:00"/>
    <x v="1"/>
    <x v="6"/>
    <x v="6"/>
    <n v="95.19"/>
    <s v="Store A"/>
    <x v="1"/>
    <n v="0.15"/>
    <x v="2"/>
    <n v="404.5575"/>
    <x v="2"/>
    <s v="WINTER15"/>
    <n v="0"/>
    <s v="REG100314"/>
    <x v="308"/>
    <n v="48.55"/>
    <x v="265"/>
    <d v="2023-11-16T00:00:00"/>
    <x v="1"/>
    <n v="475.95"/>
    <n v="71.392499999999998"/>
    <n v="404.5575"/>
    <n v="10"/>
    <x v="229"/>
    <n v="0"/>
  </r>
  <r>
    <d v="2023-04-28T00:00:00"/>
    <x v="4"/>
    <x v="2"/>
    <x v="3"/>
    <n v="210.71"/>
    <s v="Store D"/>
    <x v="0"/>
    <n v="0.15"/>
    <x v="4"/>
    <n v="358.20699999999999"/>
    <x v="2"/>
    <s v="SAVE10"/>
    <n v="0"/>
    <s v="REG100315"/>
    <x v="309"/>
    <n v="7.78"/>
    <x v="266"/>
    <d v="2023-05-08T00:00:00"/>
    <x v="4"/>
    <n v="421.42"/>
    <n v="63.213000000000001"/>
    <n v="358.20699999999999"/>
    <n v="10"/>
    <x v="230"/>
    <n v="0"/>
  </r>
  <r>
    <d v="2023-12-18T00:00:00"/>
    <x v="4"/>
    <x v="6"/>
    <x v="4"/>
    <n v="393.39"/>
    <s v="Store B"/>
    <x v="1"/>
    <n v="0.1"/>
    <x v="1"/>
    <n v="2478.357"/>
    <x v="4"/>
    <s v="SAVE10"/>
    <n v="0"/>
    <s v="REG100316"/>
    <x v="310"/>
    <n v="34.35"/>
    <x v="267"/>
    <d v="2023-12-21T00:00:00"/>
    <x v="4"/>
    <n v="2753.73"/>
    <n v="275.37299999999999"/>
    <n v="2478.357"/>
    <n v="3"/>
    <x v="231"/>
    <n v="0"/>
  </r>
  <r>
    <d v="2024-10-10T00:00:00"/>
    <x v="1"/>
    <x v="1"/>
    <x v="14"/>
    <n v="114.03"/>
    <s v="Store A"/>
    <x v="1"/>
    <n v="0"/>
    <x v="5"/>
    <n v="1482.39"/>
    <x v="4"/>
    <m/>
    <n v="0"/>
    <s v="REG100317"/>
    <x v="311"/>
    <n v="43.81"/>
    <x v="268"/>
    <d v="2024-10-16T00:00:00"/>
    <x v="1"/>
    <n v="1482.39"/>
    <n v="0"/>
    <n v="1482.39"/>
    <n v="6"/>
    <x v="0"/>
    <n v="0"/>
  </r>
  <r>
    <d v="2023-02-05T00:00:00"/>
    <x v="2"/>
    <x v="5"/>
    <x v="2"/>
    <n v="336.48"/>
    <s v="Store B"/>
    <x v="1"/>
    <n v="0"/>
    <x v="2"/>
    <n v="6056.64"/>
    <x v="0"/>
    <s v="WINTER15"/>
    <n v="0"/>
    <s v="REG100318"/>
    <x v="312"/>
    <n v="18.59"/>
    <x v="269"/>
    <d v="2023-02-07T00:00:00"/>
    <x v="2"/>
    <n v="6056.64"/>
    <n v="0"/>
    <n v="6056.64"/>
    <n v="2"/>
    <x v="0"/>
    <n v="0"/>
  </r>
  <r>
    <d v="2024-08-04T00:00:00"/>
    <x v="3"/>
    <x v="4"/>
    <x v="17"/>
    <n v="24.44"/>
    <s v="Store C"/>
    <x v="0"/>
    <n v="0.15"/>
    <x v="0"/>
    <n v="186.96600000000001"/>
    <x v="1"/>
    <s v="SAVE10"/>
    <n v="1"/>
    <s v="REG100319"/>
    <x v="313"/>
    <n v="22.06"/>
    <x v="270"/>
    <d v="2024-08-14T00:00:00"/>
    <x v="3"/>
    <n v="219.96"/>
    <n v="32.994"/>
    <n v="186.96600000000001"/>
    <n v="10"/>
    <x v="232"/>
    <n v="0"/>
  </r>
  <r>
    <d v="2024-10-23T00:00:00"/>
    <x v="3"/>
    <x v="5"/>
    <x v="13"/>
    <n v="352.2"/>
    <s v="Store A"/>
    <x v="1"/>
    <n v="0.05"/>
    <x v="0"/>
    <n v="4015.079999999999"/>
    <x v="2"/>
    <s v="WINTER15"/>
    <n v="0"/>
    <s v="REG100320"/>
    <x v="314"/>
    <n v="18.39"/>
    <x v="75"/>
    <d v="2024-11-01T00:00:00"/>
    <x v="3"/>
    <n v="4226.3999999999996"/>
    <n v="211.32"/>
    <n v="4015.0799999999995"/>
    <n v="9"/>
    <x v="233"/>
    <n v="0"/>
  </r>
  <r>
    <d v="2024-02-13T00:00:00"/>
    <x v="4"/>
    <x v="4"/>
    <x v="4"/>
    <n v="353.99"/>
    <s v="Store C"/>
    <x v="0"/>
    <n v="0.05"/>
    <x v="3"/>
    <n v="2354.0335"/>
    <x v="1"/>
    <s v="FREESHIP"/>
    <n v="0"/>
    <s v="REG100321"/>
    <x v="315"/>
    <n v="5.93"/>
    <x v="30"/>
    <d v="2024-02-20T00:00:00"/>
    <x v="4"/>
    <n v="2477.9300000000003"/>
    <n v="123.89650000000002"/>
    <n v="2354.0335000000005"/>
    <n v="7"/>
    <x v="234"/>
    <n v="0"/>
  </r>
  <r>
    <d v="2024-06-03T00:00:00"/>
    <x v="1"/>
    <x v="5"/>
    <x v="7"/>
    <n v="10.220000000000001"/>
    <s v="Store C"/>
    <x v="1"/>
    <n v="0"/>
    <x v="1"/>
    <n v="153.30000000000001"/>
    <x v="1"/>
    <s v="FREESHIP"/>
    <n v="0"/>
    <s v="REG100322"/>
    <x v="316"/>
    <n v="36.270000000000003"/>
    <x v="189"/>
    <d v="2024-06-07T00:00:00"/>
    <x v="1"/>
    <n v="153.30000000000001"/>
    <n v="0"/>
    <n v="153.30000000000001"/>
    <n v="4"/>
    <x v="0"/>
    <n v="0"/>
  </r>
  <r>
    <d v="2023-04-14T00:00:00"/>
    <x v="1"/>
    <x v="6"/>
    <x v="9"/>
    <n v="464.16"/>
    <s v="Store A"/>
    <x v="1"/>
    <n v="0.15"/>
    <x v="3"/>
    <n v="6707.1120000000001"/>
    <x v="3"/>
    <s v="FREESHIP"/>
    <n v="1"/>
    <s v="REG100323"/>
    <x v="317"/>
    <n v="46.83"/>
    <x v="271"/>
    <d v="2023-04-18T00:00:00"/>
    <x v="1"/>
    <n v="7890.72"/>
    <n v="1183.6079999999999"/>
    <n v="6707.1120000000001"/>
    <n v="4"/>
    <x v="235"/>
    <n v="0"/>
  </r>
  <r>
    <d v="2024-10-19T00:00:00"/>
    <x v="3"/>
    <x v="0"/>
    <x v="18"/>
    <n v="436.31"/>
    <s v="Store C"/>
    <x v="1"/>
    <n v="0.05"/>
    <x v="4"/>
    <n v="6631.9119999999994"/>
    <x v="0"/>
    <m/>
    <n v="0"/>
    <s v="REG100324"/>
    <x v="318"/>
    <n v="47.61"/>
    <x v="272"/>
    <d v="2024-10-23T00:00:00"/>
    <x v="3"/>
    <n v="6980.96"/>
    <n v="349.048"/>
    <n v="6631.9120000000003"/>
    <n v="4"/>
    <x v="236"/>
    <n v="0"/>
  </r>
  <r>
    <d v="2023-12-18T00:00:00"/>
    <x v="1"/>
    <x v="0"/>
    <x v="17"/>
    <n v="219.93"/>
    <s v="Store B"/>
    <x v="0"/>
    <n v="0.05"/>
    <x v="5"/>
    <n v="1880.4014999999999"/>
    <x v="1"/>
    <s v="FREESHIP"/>
    <n v="0"/>
    <s v="REG100325"/>
    <x v="319"/>
    <n v="44.78"/>
    <x v="267"/>
    <d v="2023-12-22T00:00:00"/>
    <x v="1"/>
    <n v="1979.3700000000001"/>
    <n v="98.968500000000006"/>
    <n v="1880.4015000000002"/>
    <n v="4"/>
    <x v="237"/>
    <n v="0"/>
  </r>
  <r>
    <d v="2023-08-31T00:00:00"/>
    <x v="2"/>
    <x v="0"/>
    <x v="6"/>
    <n v="311.22000000000003"/>
    <s v="Store A"/>
    <x v="0"/>
    <n v="0.15"/>
    <x v="4"/>
    <n v="1322.6849999999999"/>
    <x v="4"/>
    <s v="FREESHIP"/>
    <n v="0"/>
    <s v="REG100326"/>
    <x v="320"/>
    <n v="36.979999999999997"/>
    <x v="262"/>
    <d v="2023-09-06T00:00:00"/>
    <x v="2"/>
    <n v="1556.1000000000001"/>
    <n v="233.41500000000002"/>
    <n v="1322.6850000000002"/>
    <n v="6"/>
    <x v="238"/>
    <n v="0"/>
  </r>
  <r>
    <d v="2023-09-19T00:00:00"/>
    <x v="1"/>
    <x v="0"/>
    <x v="15"/>
    <n v="547.55999999999995"/>
    <s v="Store D"/>
    <x v="1"/>
    <n v="0.15"/>
    <x v="2"/>
    <n v="1861.704"/>
    <x v="1"/>
    <m/>
    <n v="0"/>
    <s v="REG100327"/>
    <x v="321"/>
    <n v="25.88"/>
    <x v="273"/>
    <d v="2023-09-26T00:00:00"/>
    <x v="1"/>
    <n v="2190.2399999999998"/>
    <n v="328.53599999999994"/>
    <n v="1861.7039999999997"/>
    <n v="7"/>
    <x v="239"/>
    <n v="0"/>
  </r>
  <r>
    <d v="2023-02-27T00:00:00"/>
    <x v="3"/>
    <x v="0"/>
    <x v="17"/>
    <n v="52.69"/>
    <s v="Store D"/>
    <x v="1"/>
    <n v="0.15"/>
    <x v="4"/>
    <n v="403.07850000000002"/>
    <x v="0"/>
    <s v="SAVE10"/>
    <n v="0"/>
    <s v="REG100328"/>
    <x v="322"/>
    <n v="14.59"/>
    <x v="274"/>
    <d v="2023-03-04T00:00:00"/>
    <x v="3"/>
    <n v="474.21"/>
    <n v="71.131499999999988"/>
    <n v="403.07849999999996"/>
    <n v="5"/>
    <x v="240"/>
    <n v="0"/>
  </r>
  <r>
    <d v="2024-01-28T00:00:00"/>
    <x v="1"/>
    <x v="5"/>
    <x v="17"/>
    <n v="434.74"/>
    <s v="Store D"/>
    <x v="0"/>
    <n v="0.1"/>
    <x v="5"/>
    <n v="3521.3939999999998"/>
    <x v="0"/>
    <s v="SAVE10"/>
    <n v="0"/>
    <s v="REG100329"/>
    <x v="323"/>
    <n v="20.11"/>
    <x v="275"/>
    <d v="2024-01-31T00:00:00"/>
    <x v="1"/>
    <n v="3912.66"/>
    <n v="391.26600000000002"/>
    <n v="3521.3939999999998"/>
    <n v="3"/>
    <x v="241"/>
    <n v="0"/>
  </r>
  <r>
    <d v="2025-05-06T00:00:00"/>
    <x v="1"/>
    <x v="4"/>
    <x v="17"/>
    <n v="124.17"/>
    <s v="Store C"/>
    <x v="0"/>
    <n v="0"/>
    <x v="0"/>
    <n v="1117.53"/>
    <x v="3"/>
    <s v="WINTER15"/>
    <n v="0"/>
    <s v="REG100330"/>
    <x v="324"/>
    <n v="13.31"/>
    <x v="276"/>
    <d v="2025-05-10T00:00:00"/>
    <x v="1"/>
    <n v="1117.53"/>
    <n v="0"/>
    <n v="1117.53"/>
    <n v="4"/>
    <x v="0"/>
    <n v="0"/>
  </r>
  <r>
    <d v="2024-09-13T00:00:00"/>
    <x v="0"/>
    <x v="4"/>
    <x v="3"/>
    <n v="375.48"/>
    <s v="Store D"/>
    <x v="1"/>
    <n v="0.05"/>
    <x v="4"/>
    <n v="713.41200000000003"/>
    <x v="2"/>
    <s v="FREESHIP"/>
    <n v="0"/>
    <s v="REG100331"/>
    <x v="325"/>
    <n v="26.39"/>
    <x v="277"/>
    <d v="2024-09-15T00:00:00"/>
    <x v="0"/>
    <n v="750.96"/>
    <n v="37.548000000000002"/>
    <n v="713.41200000000003"/>
    <n v="2"/>
    <x v="242"/>
    <n v="0"/>
  </r>
  <r>
    <d v="2023-05-25T00:00:00"/>
    <x v="0"/>
    <x v="6"/>
    <x v="14"/>
    <n v="211.06"/>
    <s v="Store B"/>
    <x v="1"/>
    <n v="0.1"/>
    <x v="5"/>
    <n v="2469.402"/>
    <x v="1"/>
    <m/>
    <n v="1"/>
    <s v="REG100332"/>
    <x v="326"/>
    <n v="19.579999999999998"/>
    <x v="147"/>
    <d v="2023-05-29T00:00:00"/>
    <x v="0"/>
    <n v="2743.78"/>
    <n v="274.37800000000004"/>
    <n v="2469.402"/>
    <n v="4"/>
    <x v="243"/>
    <n v="0"/>
  </r>
  <r>
    <d v="2024-09-26T00:00:00"/>
    <x v="1"/>
    <x v="5"/>
    <x v="4"/>
    <n v="88.87"/>
    <s v="Store C"/>
    <x v="1"/>
    <n v="0"/>
    <x v="1"/>
    <n v="622.09"/>
    <x v="0"/>
    <s v="SAVE10"/>
    <n v="0"/>
    <s v="REG100333"/>
    <x v="327"/>
    <n v="8.36"/>
    <x v="217"/>
    <d v="2024-10-01T00:00:00"/>
    <x v="1"/>
    <n v="622.09"/>
    <n v="0"/>
    <n v="622.09"/>
    <n v="5"/>
    <x v="0"/>
    <n v="0"/>
  </r>
  <r>
    <d v="2023-02-13T00:00:00"/>
    <x v="1"/>
    <x v="1"/>
    <x v="6"/>
    <n v="254.24"/>
    <s v="Store B"/>
    <x v="0"/>
    <n v="0.05"/>
    <x v="5"/>
    <n v="1207.6400000000001"/>
    <x v="0"/>
    <m/>
    <n v="0"/>
    <s v="REG100334"/>
    <x v="328"/>
    <n v="9.9700000000000006"/>
    <x v="278"/>
    <d v="2023-02-18T00:00:00"/>
    <x v="1"/>
    <n v="1271.2"/>
    <n v="63.56"/>
    <n v="1207.6400000000001"/>
    <n v="5"/>
    <x v="244"/>
    <n v="0"/>
  </r>
  <r>
    <d v="2024-06-20T00:00:00"/>
    <x v="3"/>
    <x v="3"/>
    <x v="6"/>
    <n v="432.35"/>
    <s v="Store C"/>
    <x v="0"/>
    <n v="0.1"/>
    <x v="5"/>
    <n v="1945.575"/>
    <x v="1"/>
    <m/>
    <n v="1"/>
    <s v="REG100335"/>
    <x v="329"/>
    <n v="41.48"/>
    <x v="249"/>
    <d v="2024-06-27T00:00:00"/>
    <x v="3"/>
    <n v="2161.75"/>
    <n v="216.17500000000001"/>
    <n v="1945.575"/>
    <n v="7"/>
    <x v="245"/>
    <n v="0"/>
  </r>
  <r>
    <d v="2024-03-22T00:00:00"/>
    <x v="4"/>
    <x v="0"/>
    <x v="8"/>
    <n v="590"/>
    <s v="Store D"/>
    <x v="1"/>
    <n v="0.05"/>
    <x v="1"/>
    <n v="10649.5"/>
    <x v="0"/>
    <s v="FREESHIP"/>
    <n v="0"/>
    <s v="REG100336"/>
    <x v="330"/>
    <n v="5.91"/>
    <x v="124"/>
    <d v="2024-03-25T00:00:00"/>
    <x v="4"/>
    <n v="11210"/>
    <n v="560.5"/>
    <n v="10649.5"/>
    <n v="3"/>
    <x v="246"/>
    <n v="0"/>
  </r>
  <r>
    <d v="2024-02-08T00:00:00"/>
    <x v="4"/>
    <x v="4"/>
    <x v="10"/>
    <n v="151.25"/>
    <s v="Store B"/>
    <x v="0"/>
    <n v="0.1"/>
    <x v="2"/>
    <n v="1497.375"/>
    <x v="2"/>
    <m/>
    <n v="1"/>
    <s v="REG100337"/>
    <x v="331"/>
    <n v="22.65"/>
    <x v="279"/>
    <d v="2024-02-11T00:00:00"/>
    <x v="4"/>
    <n v="1663.75"/>
    <n v="166.375"/>
    <n v="1497.375"/>
    <n v="3"/>
    <x v="247"/>
    <n v="0"/>
  </r>
  <r>
    <d v="2024-06-01T00:00:00"/>
    <x v="0"/>
    <x v="2"/>
    <x v="5"/>
    <n v="204.79"/>
    <s v="Store B"/>
    <x v="1"/>
    <n v="0.1"/>
    <x v="2"/>
    <n v="552.93299999999999"/>
    <x v="0"/>
    <s v="FREESHIP"/>
    <n v="1"/>
    <s v="REG100338"/>
    <x v="332"/>
    <n v="7.72"/>
    <x v="280"/>
    <d v="2024-06-04T00:00:00"/>
    <x v="0"/>
    <n v="614.37"/>
    <n v="61.437000000000005"/>
    <n v="552.93299999999999"/>
    <n v="3"/>
    <x v="248"/>
    <n v="0"/>
  </r>
  <r>
    <d v="2024-05-26T00:00:00"/>
    <x v="2"/>
    <x v="0"/>
    <x v="18"/>
    <n v="586.52"/>
    <s v="Store C"/>
    <x v="0"/>
    <n v="0"/>
    <x v="4"/>
    <n v="9384.32"/>
    <x v="2"/>
    <s v="WINTER15"/>
    <n v="1"/>
    <s v="REG100339"/>
    <x v="333"/>
    <n v="17.059999999999999"/>
    <x v="96"/>
    <d v="2024-06-01T00:00:00"/>
    <x v="2"/>
    <n v="9384.32"/>
    <n v="0"/>
    <n v="9384.32"/>
    <n v="6"/>
    <x v="0"/>
    <n v="0"/>
  </r>
  <r>
    <d v="2024-06-25T00:00:00"/>
    <x v="0"/>
    <x v="6"/>
    <x v="18"/>
    <n v="104.83"/>
    <s v="Store A"/>
    <x v="0"/>
    <n v="0"/>
    <x v="3"/>
    <n v="1677.28"/>
    <x v="1"/>
    <s v="FREESHIP"/>
    <n v="0"/>
    <s v="REG100340"/>
    <x v="261"/>
    <n v="33.99"/>
    <x v="281"/>
    <d v="2024-06-30T00:00:00"/>
    <x v="0"/>
    <n v="1677.28"/>
    <n v="0"/>
    <n v="1677.28"/>
    <n v="5"/>
    <x v="0"/>
    <n v="0"/>
  </r>
  <r>
    <d v="2024-01-29T00:00:00"/>
    <x v="3"/>
    <x v="6"/>
    <x v="18"/>
    <n v="598.48"/>
    <s v="Store A"/>
    <x v="1"/>
    <n v="0.1"/>
    <x v="2"/>
    <n v="8618.112000000001"/>
    <x v="4"/>
    <m/>
    <n v="0"/>
    <s v="REG100341"/>
    <x v="334"/>
    <n v="47.86"/>
    <x v="282"/>
    <d v="2024-02-07T00:00:00"/>
    <x v="3"/>
    <n v="9575.68"/>
    <n v="957.5680000000001"/>
    <n v="8618.112000000001"/>
    <n v="9"/>
    <x v="249"/>
    <n v="0"/>
  </r>
  <r>
    <d v="2024-12-07T00:00:00"/>
    <x v="1"/>
    <x v="3"/>
    <x v="19"/>
    <n v="367.89"/>
    <s v="Store B"/>
    <x v="1"/>
    <n v="0.05"/>
    <x v="1"/>
    <n v="2795.9639999999999"/>
    <x v="4"/>
    <s v="FREESHIP"/>
    <n v="0"/>
    <s v="REG100342"/>
    <x v="335"/>
    <n v="18.100000000000001"/>
    <x v="29"/>
    <d v="2024-12-09T00:00:00"/>
    <x v="1"/>
    <n v="2943.12"/>
    <n v="147.15600000000001"/>
    <n v="2795.9639999999999"/>
    <n v="2"/>
    <x v="250"/>
    <n v="0"/>
  </r>
  <r>
    <d v="2023-11-21T00:00:00"/>
    <x v="4"/>
    <x v="3"/>
    <x v="12"/>
    <n v="333.35"/>
    <s v="Store A"/>
    <x v="1"/>
    <n v="0.15"/>
    <x v="1"/>
    <n v="2833.4749999999999"/>
    <x v="3"/>
    <s v="FREESHIP"/>
    <n v="0"/>
    <s v="REG100343"/>
    <x v="336"/>
    <n v="39.35"/>
    <x v="283"/>
    <d v="2023-11-26T00:00:00"/>
    <x v="4"/>
    <n v="3333.5"/>
    <n v="500.02499999999998"/>
    <n v="2833.4749999999999"/>
    <n v="5"/>
    <x v="251"/>
    <n v="0"/>
  </r>
  <r>
    <d v="2024-12-16T00:00:00"/>
    <x v="2"/>
    <x v="3"/>
    <x v="19"/>
    <n v="378.88"/>
    <s v="Store A"/>
    <x v="0"/>
    <n v="0.1"/>
    <x v="2"/>
    <n v="2727.9360000000001"/>
    <x v="3"/>
    <s v="WINTER15"/>
    <n v="1"/>
    <s v="REG100344"/>
    <x v="337"/>
    <n v="5.22"/>
    <x v="284"/>
    <d v="2024-12-24T00:00:00"/>
    <x v="2"/>
    <n v="3031.04"/>
    <n v="303.10399999999998"/>
    <n v="2727.9360000000001"/>
    <n v="8"/>
    <x v="252"/>
    <n v="0"/>
  </r>
  <r>
    <d v="2023-08-05T00:00:00"/>
    <x v="3"/>
    <x v="4"/>
    <x v="13"/>
    <n v="169.2"/>
    <s v="Store C"/>
    <x v="1"/>
    <n v="0.05"/>
    <x v="4"/>
    <n v="1928.88"/>
    <x v="1"/>
    <s v="SAVE10"/>
    <n v="0"/>
    <s v="REG100345"/>
    <x v="338"/>
    <n v="28.65"/>
    <x v="285"/>
    <d v="2023-08-15T00:00:00"/>
    <x v="3"/>
    <n v="2030.3999999999999"/>
    <n v="101.52"/>
    <n v="1928.8799999999999"/>
    <n v="10"/>
    <x v="253"/>
    <n v="0"/>
  </r>
  <r>
    <d v="2023-08-30T00:00:00"/>
    <x v="3"/>
    <x v="3"/>
    <x v="4"/>
    <n v="103.03"/>
    <s v="Store D"/>
    <x v="1"/>
    <n v="0.1"/>
    <x v="5"/>
    <n v="649.08900000000006"/>
    <x v="0"/>
    <s v="FREESHIP"/>
    <n v="1"/>
    <s v="REG100346"/>
    <x v="339"/>
    <n v="5.29"/>
    <x v="286"/>
    <d v="2023-09-06T00:00:00"/>
    <x v="3"/>
    <n v="721.21"/>
    <n v="72.121000000000009"/>
    <n v="649.08900000000006"/>
    <n v="7"/>
    <x v="254"/>
    <n v="0"/>
  </r>
  <r>
    <d v="2025-03-25T00:00:00"/>
    <x v="0"/>
    <x v="6"/>
    <x v="5"/>
    <n v="378.74"/>
    <s v="Store D"/>
    <x v="0"/>
    <n v="0.15"/>
    <x v="2"/>
    <n v="965.78700000000003"/>
    <x v="0"/>
    <s v="SAVE10"/>
    <n v="0"/>
    <s v="REG100347"/>
    <x v="340"/>
    <n v="8.2200000000000006"/>
    <x v="287"/>
    <d v="2025-03-27T00:00:00"/>
    <x v="0"/>
    <n v="1136.22"/>
    <n v="170.43299999999999"/>
    <n v="965.78700000000003"/>
    <n v="2"/>
    <x v="255"/>
    <n v="0"/>
  </r>
  <r>
    <d v="2024-12-13T00:00:00"/>
    <x v="2"/>
    <x v="1"/>
    <x v="7"/>
    <n v="27.21"/>
    <s v="Store C"/>
    <x v="0"/>
    <n v="0"/>
    <x v="1"/>
    <n v="408.15"/>
    <x v="0"/>
    <s v="WINTER15"/>
    <n v="0"/>
    <s v="REG100348"/>
    <x v="341"/>
    <n v="43.69"/>
    <x v="167"/>
    <d v="2024-12-22T00:00:00"/>
    <x v="2"/>
    <n v="408.15000000000003"/>
    <n v="0"/>
    <n v="408.15000000000003"/>
    <n v="9"/>
    <x v="0"/>
    <n v="0"/>
  </r>
  <r>
    <d v="2023-09-07T00:00:00"/>
    <x v="3"/>
    <x v="1"/>
    <x v="0"/>
    <n v="52.09"/>
    <s v="Store A"/>
    <x v="1"/>
    <n v="0"/>
    <x v="5"/>
    <n v="729.26"/>
    <x v="1"/>
    <m/>
    <n v="1"/>
    <s v="REG100349"/>
    <x v="342"/>
    <n v="48.02"/>
    <x v="288"/>
    <d v="2023-09-14T00:00:00"/>
    <x v="3"/>
    <n v="729.26"/>
    <n v="0"/>
    <n v="729.26"/>
    <n v="7"/>
    <x v="0"/>
    <n v="0"/>
  </r>
  <r>
    <d v="2023-12-12T00:00:00"/>
    <x v="2"/>
    <x v="4"/>
    <x v="4"/>
    <n v="570.01"/>
    <s v="Store C"/>
    <x v="0"/>
    <n v="0"/>
    <x v="3"/>
    <n v="3990.07"/>
    <x v="2"/>
    <s v="WINTER15"/>
    <n v="0"/>
    <s v="REG100350"/>
    <x v="343"/>
    <n v="42.33"/>
    <x v="289"/>
    <d v="2023-12-21T00:00:00"/>
    <x v="2"/>
    <n v="3990.0699999999997"/>
    <n v="0"/>
    <n v="3990.0699999999997"/>
    <n v="9"/>
    <x v="0"/>
    <n v="0"/>
  </r>
  <r>
    <d v="2024-04-25T00:00:00"/>
    <x v="0"/>
    <x v="4"/>
    <x v="8"/>
    <n v="526.23"/>
    <s v="Store B"/>
    <x v="1"/>
    <n v="0"/>
    <x v="5"/>
    <n v="9998.3700000000008"/>
    <x v="2"/>
    <s v="WINTER15"/>
    <n v="0"/>
    <s v="REG100351"/>
    <x v="344"/>
    <n v="32.770000000000003"/>
    <x v="290"/>
    <d v="2024-05-05T00:00:00"/>
    <x v="0"/>
    <n v="9998.3700000000008"/>
    <n v="0"/>
    <n v="9998.3700000000008"/>
    <n v="10"/>
    <x v="0"/>
    <n v="0"/>
  </r>
  <r>
    <d v="2025-05-04T00:00:00"/>
    <x v="2"/>
    <x v="0"/>
    <x v="19"/>
    <n v="294.51"/>
    <s v="Store A"/>
    <x v="0"/>
    <n v="0.15"/>
    <x v="4"/>
    <n v="2002.6679999999999"/>
    <x v="1"/>
    <m/>
    <n v="0"/>
    <s v="REG100352"/>
    <x v="345"/>
    <n v="10.46"/>
    <x v="291"/>
    <d v="2025-05-07T00:00:00"/>
    <x v="2"/>
    <n v="2356.08"/>
    <n v="353.41199999999998"/>
    <n v="2002.6679999999999"/>
    <n v="3"/>
    <x v="256"/>
    <n v="0"/>
  </r>
  <r>
    <d v="2023-09-16T00:00:00"/>
    <x v="1"/>
    <x v="4"/>
    <x v="2"/>
    <n v="448.27"/>
    <s v="Store C"/>
    <x v="0"/>
    <n v="0.05"/>
    <x v="4"/>
    <n v="7665.4169999999986"/>
    <x v="2"/>
    <s v="SAVE10"/>
    <n v="0"/>
    <s v="REG100353"/>
    <x v="346"/>
    <n v="47.56"/>
    <x v="292"/>
    <d v="2023-09-20T00:00:00"/>
    <x v="1"/>
    <n v="8068.86"/>
    <n v="403.44299999999998"/>
    <n v="7665.4169999999995"/>
    <n v="4"/>
    <x v="257"/>
    <n v="0"/>
  </r>
  <r>
    <d v="2024-10-23T00:00:00"/>
    <x v="4"/>
    <x v="2"/>
    <x v="9"/>
    <n v="583.88"/>
    <s v="Store D"/>
    <x v="1"/>
    <n v="0.1"/>
    <x v="1"/>
    <n v="8933.3639999999996"/>
    <x v="2"/>
    <s v="WINTER15"/>
    <n v="0"/>
    <s v="REG100354"/>
    <x v="347"/>
    <n v="37.53"/>
    <x v="75"/>
    <d v="2024-10-26T00:00:00"/>
    <x v="4"/>
    <n v="9925.9599999999991"/>
    <n v="992.596"/>
    <n v="8933.3639999999996"/>
    <n v="3"/>
    <x v="258"/>
    <n v="0"/>
  </r>
  <r>
    <d v="2023-05-03T00:00:00"/>
    <x v="2"/>
    <x v="2"/>
    <x v="3"/>
    <n v="97.5"/>
    <s v="Store D"/>
    <x v="1"/>
    <n v="0.1"/>
    <x v="1"/>
    <n v="175.5"/>
    <x v="4"/>
    <m/>
    <n v="1"/>
    <s v="REG100355"/>
    <x v="348"/>
    <n v="46.37"/>
    <x v="293"/>
    <d v="2023-05-06T00:00:00"/>
    <x v="2"/>
    <n v="195"/>
    <n v="19.5"/>
    <n v="175.5"/>
    <n v="3"/>
    <x v="259"/>
    <n v="0"/>
  </r>
  <r>
    <d v="2025-03-18T00:00:00"/>
    <x v="2"/>
    <x v="6"/>
    <x v="18"/>
    <n v="420.79"/>
    <s v="Store B"/>
    <x v="0"/>
    <n v="0.15"/>
    <x v="3"/>
    <n v="5722.7439999999997"/>
    <x v="4"/>
    <s v="FREESHIP"/>
    <n v="1"/>
    <s v="REG100356"/>
    <x v="46"/>
    <n v="22.13"/>
    <x v="213"/>
    <d v="2025-03-25T00:00:00"/>
    <x v="2"/>
    <n v="6732.64"/>
    <n v="1009.896"/>
    <n v="5722.7440000000006"/>
    <n v="7"/>
    <x v="260"/>
    <n v="0"/>
  </r>
  <r>
    <d v="2023-08-25T00:00:00"/>
    <x v="4"/>
    <x v="3"/>
    <x v="14"/>
    <n v="513.17999999999995"/>
    <s v="Store B"/>
    <x v="1"/>
    <n v="0"/>
    <x v="0"/>
    <n v="6671.3399999999992"/>
    <x v="2"/>
    <s v="FREESHIP"/>
    <n v="0"/>
    <s v="REG100357"/>
    <x v="349"/>
    <n v="10.57"/>
    <x v="294"/>
    <d v="2023-08-27T00:00:00"/>
    <x v="4"/>
    <n v="6671.3399999999992"/>
    <n v="0"/>
    <n v="6671.3399999999992"/>
    <n v="2"/>
    <x v="0"/>
    <n v="0"/>
  </r>
  <r>
    <d v="2023-07-13T00:00:00"/>
    <x v="2"/>
    <x v="4"/>
    <x v="8"/>
    <n v="475.64"/>
    <s v="Store C"/>
    <x v="1"/>
    <n v="0.1"/>
    <x v="2"/>
    <n v="8133.4440000000004"/>
    <x v="4"/>
    <s v="WINTER15"/>
    <n v="1"/>
    <s v="REG100358"/>
    <x v="350"/>
    <n v="11.17"/>
    <x v="295"/>
    <d v="2023-07-17T00:00:00"/>
    <x v="2"/>
    <n v="9037.16"/>
    <n v="903.71600000000001"/>
    <n v="8133.4439999999995"/>
    <n v="4"/>
    <x v="261"/>
    <n v="0"/>
  </r>
  <r>
    <d v="2025-02-25T00:00:00"/>
    <x v="2"/>
    <x v="5"/>
    <x v="14"/>
    <n v="238.34"/>
    <s v="Store C"/>
    <x v="1"/>
    <n v="0.1"/>
    <x v="3"/>
    <n v="2788.578"/>
    <x v="2"/>
    <s v="SAVE10"/>
    <n v="1"/>
    <s v="REG100359"/>
    <x v="351"/>
    <n v="7.9"/>
    <x v="296"/>
    <d v="2025-03-06T00:00:00"/>
    <x v="2"/>
    <n v="3098.42"/>
    <n v="309.84200000000004"/>
    <n v="2788.578"/>
    <n v="9"/>
    <x v="262"/>
    <n v="0"/>
  </r>
  <r>
    <d v="2025-04-14T00:00:00"/>
    <x v="3"/>
    <x v="0"/>
    <x v="0"/>
    <n v="285.02999999999997"/>
    <s v="Store B"/>
    <x v="0"/>
    <n v="0.1"/>
    <x v="0"/>
    <n v="3591.3780000000002"/>
    <x v="2"/>
    <s v="SAVE10"/>
    <n v="0"/>
    <s v="REG100360"/>
    <x v="352"/>
    <n v="41.5"/>
    <x v="297"/>
    <d v="2025-04-17T00:00:00"/>
    <x v="3"/>
    <n v="3990.4199999999996"/>
    <n v="399.04199999999997"/>
    <n v="3591.3779999999997"/>
    <n v="3"/>
    <x v="263"/>
    <n v="0"/>
  </r>
  <r>
    <d v="2025-06-15T00:00:00"/>
    <x v="3"/>
    <x v="2"/>
    <x v="6"/>
    <n v="5.52"/>
    <s v="Store C"/>
    <x v="1"/>
    <n v="0.05"/>
    <x v="1"/>
    <n v="26.22"/>
    <x v="2"/>
    <s v="FREESHIP"/>
    <n v="0"/>
    <s v="REG100361"/>
    <x v="353"/>
    <n v="10.58"/>
    <x v="298"/>
    <d v="2025-06-18T00:00:00"/>
    <x v="3"/>
    <n v="27.599999999999998"/>
    <n v="1.38"/>
    <n v="26.22"/>
    <n v="3"/>
    <x v="264"/>
    <n v="0"/>
  </r>
  <r>
    <d v="2024-10-22T00:00:00"/>
    <x v="2"/>
    <x v="4"/>
    <x v="2"/>
    <n v="396.25"/>
    <s v="Store D"/>
    <x v="1"/>
    <n v="0.1"/>
    <x v="2"/>
    <n v="6419.25"/>
    <x v="2"/>
    <s v="FREESHIP"/>
    <n v="0"/>
    <s v="REG100362"/>
    <x v="354"/>
    <n v="20.39"/>
    <x v="299"/>
    <d v="2024-10-27T00:00:00"/>
    <x v="2"/>
    <n v="7132.5"/>
    <n v="713.25"/>
    <n v="6419.25"/>
    <n v="5"/>
    <x v="265"/>
    <n v="0"/>
  </r>
  <r>
    <d v="2023-06-20T00:00:00"/>
    <x v="1"/>
    <x v="0"/>
    <x v="17"/>
    <n v="282.8"/>
    <s v="Store D"/>
    <x v="0"/>
    <n v="0.05"/>
    <x v="0"/>
    <n v="2417.94"/>
    <x v="0"/>
    <m/>
    <n v="0"/>
    <s v="REG100363"/>
    <x v="355"/>
    <n v="49.79"/>
    <x v="300"/>
    <d v="2023-06-25T00:00:00"/>
    <x v="1"/>
    <n v="2545.2000000000003"/>
    <n v="127.26000000000002"/>
    <n v="2417.94"/>
    <n v="5"/>
    <x v="266"/>
    <n v="0"/>
  </r>
  <r>
    <d v="2025-03-05T00:00:00"/>
    <x v="1"/>
    <x v="1"/>
    <x v="16"/>
    <n v="525.42999999999995"/>
    <s v="Store C"/>
    <x v="0"/>
    <n v="0.05"/>
    <x v="1"/>
    <n v="2994.951"/>
    <x v="2"/>
    <m/>
    <n v="0"/>
    <s v="REG100364"/>
    <x v="356"/>
    <n v="39.28"/>
    <x v="9"/>
    <d v="2025-03-11T00:00:00"/>
    <x v="1"/>
    <n v="3152.58"/>
    <n v="157.62900000000002"/>
    <n v="2994.951"/>
    <n v="6"/>
    <x v="267"/>
    <n v="0"/>
  </r>
  <r>
    <d v="2023-10-28T00:00:00"/>
    <x v="4"/>
    <x v="5"/>
    <x v="7"/>
    <n v="127.67"/>
    <s v="Store D"/>
    <x v="1"/>
    <n v="0.1"/>
    <x v="1"/>
    <n v="1723.5450000000001"/>
    <x v="3"/>
    <m/>
    <n v="0"/>
    <s v="REG100365"/>
    <x v="357"/>
    <n v="48.77"/>
    <x v="301"/>
    <d v="2023-10-30T00:00:00"/>
    <x v="4"/>
    <n v="1915.05"/>
    <n v="191.505"/>
    <n v="1723.5450000000001"/>
    <n v="2"/>
    <x v="268"/>
    <n v="0"/>
  </r>
  <r>
    <d v="2025-03-19T00:00:00"/>
    <x v="3"/>
    <x v="0"/>
    <x v="9"/>
    <n v="511.8"/>
    <s v="Store B"/>
    <x v="1"/>
    <n v="0.05"/>
    <x v="3"/>
    <n v="8265.57"/>
    <x v="2"/>
    <s v="WINTER15"/>
    <n v="1"/>
    <s v="REG100366"/>
    <x v="358"/>
    <n v="13.33"/>
    <x v="302"/>
    <d v="2025-03-26T00:00:00"/>
    <x v="3"/>
    <n v="8700.6"/>
    <n v="435.03000000000003"/>
    <n v="8265.57"/>
    <n v="7"/>
    <x v="269"/>
    <n v="0"/>
  </r>
  <r>
    <d v="2023-08-06T00:00:00"/>
    <x v="4"/>
    <x v="5"/>
    <x v="15"/>
    <n v="555.86"/>
    <s v="Store C"/>
    <x v="1"/>
    <n v="0.05"/>
    <x v="5"/>
    <n v="2112.268"/>
    <x v="4"/>
    <s v="FREESHIP"/>
    <n v="0"/>
    <s v="REG100367"/>
    <x v="359"/>
    <n v="28.92"/>
    <x v="23"/>
    <d v="2023-08-08T00:00:00"/>
    <x v="4"/>
    <n v="2223.44"/>
    <n v="111.17200000000001"/>
    <n v="2112.268"/>
    <n v="2"/>
    <x v="270"/>
    <n v="0"/>
  </r>
  <r>
    <d v="2024-09-11T00:00:00"/>
    <x v="3"/>
    <x v="4"/>
    <x v="7"/>
    <n v="202.72"/>
    <s v="Store D"/>
    <x v="1"/>
    <n v="0.05"/>
    <x v="0"/>
    <n v="2888.76"/>
    <x v="3"/>
    <s v="WINTER15"/>
    <n v="1"/>
    <s v="REG100368"/>
    <x v="360"/>
    <n v="41.61"/>
    <x v="303"/>
    <d v="2024-09-19T00:00:00"/>
    <x v="3"/>
    <n v="3040.8"/>
    <n v="152.04000000000002"/>
    <n v="2888.76"/>
    <n v="8"/>
    <x v="271"/>
    <n v="0"/>
  </r>
  <r>
    <d v="2025-01-08T00:00:00"/>
    <x v="3"/>
    <x v="3"/>
    <x v="15"/>
    <n v="353.7"/>
    <s v="Store A"/>
    <x v="0"/>
    <n v="0"/>
    <x v="2"/>
    <n v="1414.8"/>
    <x v="2"/>
    <s v="FREESHIP"/>
    <n v="0"/>
    <s v="REG100369"/>
    <x v="361"/>
    <n v="41.98"/>
    <x v="304"/>
    <d v="2025-01-12T00:00:00"/>
    <x v="3"/>
    <n v="1414.8"/>
    <n v="0"/>
    <n v="1414.8"/>
    <n v="4"/>
    <x v="0"/>
    <n v="0"/>
  </r>
  <r>
    <d v="2024-08-12T00:00:00"/>
    <x v="3"/>
    <x v="3"/>
    <x v="5"/>
    <n v="149.25"/>
    <s v="Store D"/>
    <x v="0"/>
    <n v="0"/>
    <x v="3"/>
    <n v="447.75"/>
    <x v="3"/>
    <m/>
    <n v="1"/>
    <s v="REG100370"/>
    <x v="362"/>
    <n v="13.17"/>
    <x v="305"/>
    <d v="2024-08-14T00:00:00"/>
    <x v="3"/>
    <n v="447.75"/>
    <n v="0"/>
    <n v="447.75"/>
    <n v="2"/>
    <x v="0"/>
    <n v="0"/>
  </r>
  <r>
    <d v="2023-03-30T00:00:00"/>
    <x v="2"/>
    <x v="4"/>
    <x v="8"/>
    <n v="156.44"/>
    <s v="Store C"/>
    <x v="0"/>
    <n v="0.1"/>
    <x v="1"/>
    <n v="2675.1239999999998"/>
    <x v="0"/>
    <s v="WINTER15"/>
    <n v="0"/>
    <s v="REG100371"/>
    <x v="363"/>
    <n v="19.440000000000001"/>
    <x v="306"/>
    <d v="2023-04-04T00:00:00"/>
    <x v="2"/>
    <n v="2972.36"/>
    <n v="297.23600000000005"/>
    <n v="2675.1240000000003"/>
    <n v="5"/>
    <x v="272"/>
    <n v="0"/>
  </r>
  <r>
    <d v="2023-02-01T00:00:00"/>
    <x v="3"/>
    <x v="1"/>
    <x v="4"/>
    <n v="241.76"/>
    <s v="Store D"/>
    <x v="0"/>
    <n v="0"/>
    <x v="3"/>
    <n v="1692.32"/>
    <x v="0"/>
    <s v="SAVE10"/>
    <n v="0"/>
    <s v="REG100372"/>
    <x v="364"/>
    <n v="48.13"/>
    <x v="307"/>
    <d v="2023-02-09T00:00:00"/>
    <x v="3"/>
    <n v="1692.32"/>
    <n v="0"/>
    <n v="1692.32"/>
    <n v="8"/>
    <x v="0"/>
    <n v="0"/>
  </r>
  <r>
    <d v="2025-04-18T00:00:00"/>
    <x v="2"/>
    <x v="0"/>
    <x v="11"/>
    <n v="170.49"/>
    <s v="Store A"/>
    <x v="0"/>
    <n v="0"/>
    <x v="4"/>
    <n v="3409.8"/>
    <x v="0"/>
    <s v="FREESHIP"/>
    <n v="0"/>
    <s v="REG100373"/>
    <x v="100"/>
    <n v="19.739999999999998"/>
    <x v="308"/>
    <d v="2025-04-27T00:00:00"/>
    <x v="2"/>
    <n v="3409.8"/>
    <n v="0"/>
    <n v="3409.8"/>
    <n v="9"/>
    <x v="0"/>
    <n v="0"/>
  </r>
  <r>
    <d v="2025-03-29T00:00:00"/>
    <x v="3"/>
    <x v="4"/>
    <x v="10"/>
    <n v="149.66999999999999"/>
    <s v="Store C"/>
    <x v="1"/>
    <n v="0.1"/>
    <x v="0"/>
    <n v="1481.7329999999999"/>
    <x v="2"/>
    <m/>
    <n v="0"/>
    <s v="REG100374"/>
    <x v="365"/>
    <n v="34.130000000000003"/>
    <x v="259"/>
    <d v="2025-04-02T00:00:00"/>
    <x v="3"/>
    <n v="1646.37"/>
    <n v="164.637"/>
    <n v="1481.7329999999999"/>
    <n v="4"/>
    <x v="273"/>
    <n v="0"/>
  </r>
  <r>
    <d v="2024-04-25T00:00:00"/>
    <x v="0"/>
    <x v="5"/>
    <x v="1"/>
    <n v="173.56"/>
    <s v="Store D"/>
    <x v="1"/>
    <n v="0.1"/>
    <x v="0"/>
    <n v="156.20400000000001"/>
    <x v="3"/>
    <s v="FREESHIP"/>
    <n v="0"/>
    <s v="REG100375"/>
    <x v="366"/>
    <n v="39.1"/>
    <x v="290"/>
    <d v="2024-04-28T00:00:00"/>
    <x v="0"/>
    <n v="173.56"/>
    <n v="17.356000000000002"/>
    <n v="156.20400000000001"/>
    <n v="3"/>
    <x v="274"/>
    <n v="0"/>
  </r>
  <r>
    <d v="2024-09-22T00:00:00"/>
    <x v="1"/>
    <x v="4"/>
    <x v="4"/>
    <n v="349.55"/>
    <s v="Store A"/>
    <x v="1"/>
    <n v="0.05"/>
    <x v="3"/>
    <n v="2324.5075000000002"/>
    <x v="2"/>
    <s v="FREESHIP"/>
    <n v="0"/>
    <s v="REG100376"/>
    <x v="367"/>
    <n v="23.7"/>
    <x v="309"/>
    <d v="2024-09-27T00:00:00"/>
    <x v="1"/>
    <n v="2446.85"/>
    <n v="122.3425"/>
    <n v="2324.5074999999997"/>
    <n v="5"/>
    <x v="275"/>
    <n v="0"/>
  </r>
  <r>
    <d v="2023-08-05T00:00:00"/>
    <x v="3"/>
    <x v="5"/>
    <x v="17"/>
    <n v="245.14"/>
    <s v="Store B"/>
    <x v="0"/>
    <n v="0"/>
    <x v="1"/>
    <n v="2206.2600000000002"/>
    <x v="0"/>
    <s v="SAVE10"/>
    <n v="1"/>
    <s v="REG100377"/>
    <x v="368"/>
    <n v="44.6"/>
    <x v="285"/>
    <d v="2023-08-14T00:00:00"/>
    <x v="3"/>
    <n v="2206.2599999999998"/>
    <n v="0"/>
    <n v="2206.2599999999998"/>
    <n v="9"/>
    <x v="0"/>
    <n v="0"/>
  </r>
  <r>
    <d v="2024-06-07T00:00:00"/>
    <x v="1"/>
    <x v="2"/>
    <x v="1"/>
    <n v="423.08"/>
    <s v="Store B"/>
    <x v="0"/>
    <n v="0.05"/>
    <x v="5"/>
    <n v="401.92599999999999"/>
    <x v="1"/>
    <s v="WINTER15"/>
    <n v="0"/>
    <s v="REG100378"/>
    <x v="369"/>
    <n v="31.75"/>
    <x v="310"/>
    <d v="2024-06-11T00:00:00"/>
    <x v="1"/>
    <n v="423.08"/>
    <n v="21.154"/>
    <n v="401.92599999999999"/>
    <n v="4"/>
    <x v="276"/>
    <n v="0"/>
  </r>
  <r>
    <d v="2025-05-24T00:00:00"/>
    <x v="0"/>
    <x v="1"/>
    <x v="8"/>
    <n v="337.82"/>
    <s v="Store B"/>
    <x v="0"/>
    <n v="0.15"/>
    <x v="1"/>
    <n v="5455.7929999999997"/>
    <x v="0"/>
    <s v="FREESHIP"/>
    <n v="0"/>
    <s v="REG100379"/>
    <x v="370"/>
    <n v="45.74"/>
    <x v="311"/>
    <d v="2025-05-30T00:00:00"/>
    <x v="0"/>
    <n v="6418.58"/>
    <n v="962.78699999999992"/>
    <n v="5455.7929999999997"/>
    <n v="6"/>
    <x v="277"/>
    <n v="0"/>
  </r>
  <r>
    <d v="2024-07-18T00:00:00"/>
    <x v="1"/>
    <x v="3"/>
    <x v="12"/>
    <n v="252.63"/>
    <s v="Store B"/>
    <x v="1"/>
    <n v="0.15"/>
    <x v="0"/>
    <n v="2147.355"/>
    <x v="4"/>
    <s v="FREESHIP"/>
    <n v="0"/>
    <s v="REG100380"/>
    <x v="371"/>
    <n v="8.92"/>
    <x v="118"/>
    <d v="2024-07-25T00:00:00"/>
    <x v="1"/>
    <n v="2526.3000000000002"/>
    <n v="378.94499999999999"/>
    <n v="2147.355"/>
    <n v="7"/>
    <x v="278"/>
    <n v="0"/>
  </r>
  <r>
    <d v="2024-07-14T00:00:00"/>
    <x v="4"/>
    <x v="5"/>
    <x v="5"/>
    <n v="87.02"/>
    <s v="Store B"/>
    <x v="0"/>
    <n v="0.1"/>
    <x v="2"/>
    <n v="234.95400000000001"/>
    <x v="4"/>
    <s v="WINTER15"/>
    <n v="0"/>
    <s v="REG100381"/>
    <x v="372"/>
    <n v="11.13"/>
    <x v="106"/>
    <d v="2024-07-16T00:00:00"/>
    <x v="4"/>
    <n v="261.06"/>
    <n v="26.106000000000002"/>
    <n v="234.95400000000001"/>
    <n v="2"/>
    <x v="279"/>
    <n v="0"/>
  </r>
  <r>
    <d v="2023-04-14T00:00:00"/>
    <x v="3"/>
    <x v="5"/>
    <x v="10"/>
    <n v="6.72"/>
    <s v="Store D"/>
    <x v="0"/>
    <n v="0.05"/>
    <x v="5"/>
    <n v="70.224000000000004"/>
    <x v="4"/>
    <s v="SAVE10"/>
    <n v="0"/>
    <s v="REG100382"/>
    <x v="373"/>
    <n v="34.270000000000003"/>
    <x v="271"/>
    <d v="2023-04-19T00:00:00"/>
    <x v="3"/>
    <n v="73.92"/>
    <n v="3.6960000000000002"/>
    <n v="70.224000000000004"/>
    <n v="5"/>
    <x v="280"/>
    <n v="0"/>
  </r>
  <r>
    <d v="2023-06-01T00:00:00"/>
    <x v="1"/>
    <x v="6"/>
    <x v="3"/>
    <n v="279.38"/>
    <s v="Store D"/>
    <x v="1"/>
    <n v="0.1"/>
    <x v="3"/>
    <n v="502.88400000000001"/>
    <x v="0"/>
    <s v="FREESHIP"/>
    <n v="0"/>
    <s v="REG100383"/>
    <x v="374"/>
    <n v="22.95"/>
    <x v="312"/>
    <d v="2023-06-06T00:00:00"/>
    <x v="1"/>
    <n v="558.76"/>
    <n v="55.876000000000005"/>
    <n v="502.88400000000001"/>
    <n v="5"/>
    <x v="281"/>
    <n v="0"/>
  </r>
  <r>
    <d v="2025-04-17T00:00:00"/>
    <x v="3"/>
    <x v="1"/>
    <x v="17"/>
    <n v="207.8"/>
    <s v="Store D"/>
    <x v="1"/>
    <n v="0.1"/>
    <x v="1"/>
    <n v="1683.18"/>
    <x v="0"/>
    <s v="WINTER15"/>
    <n v="0"/>
    <s v="REG100384"/>
    <x v="375"/>
    <n v="16.989999999999998"/>
    <x v="313"/>
    <d v="2025-04-20T00:00:00"/>
    <x v="3"/>
    <n v="1870.2"/>
    <n v="187.02"/>
    <n v="1683.18"/>
    <n v="3"/>
    <x v="282"/>
    <n v="0"/>
  </r>
  <r>
    <d v="2025-03-31T00:00:00"/>
    <x v="0"/>
    <x v="6"/>
    <x v="7"/>
    <n v="511.88"/>
    <s v="Store C"/>
    <x v="0"/>
    <n v="0.05"/>
    <x v="5"/>
    <n v="7294.2899999999991"/>
    <x v="4"/>
    <s v="SAVE10"/>
    <n v="0"/>
    <s v="REG100385"/>
    <x v="376"/>
    <n v="10.220000000000001"/>
    <x v="314"/>
    <d v="2025-04-09T00:00:00"/>
    <x v="0"/>
    <n v="7678.2"/>
    <n v="383.91"/>
    <n v="7294.29"/>
    <n v="9"/>
    <x v="283"/>
    <n v="0"/>
  </r>
  <r>
    <d v="2024-07-15T00:00:00"/>
    <x v="0"/>
    <x v="6"/>
    <x v="12"/>
    <n v="325.97000000000003"/>
    <s v="Store D"/>
    <x v="1"/>
    <n v="0"/>
    <x v="5"/>
    <n v="3259.7"/>
    <x v="4"/>
    <s v="FREESHIP"/>
    <n v="1"/>
    <s v="REG100386"/>
    <x v="377"/>
    <n v="49.95"/>
    <x v="236"/>
    <d v="2024-07-22T00:00:00"/>
    <x v="0"/>
    <n v="3259.7000000000003"/>
    <n v="0"/>
    <n v="3259.7000000000003"/>
    <n v="7"/>
    <x v="0"/>
    <n v="0"/>
  </r>
  <r>
    <d v="2024-08-30T00:00:00"/>
    <x v="1"/>
    <x v="0"/>
    <x v="9"/>
    <n v="469.32"/>
    <s v="Store B"/>
    <x v="1"/>
    <n v="0"/>
    <x v="3"/>
    <n v="7978.44"/>
    <x v="1"/>
    <s v="WINTER15"/>
    <n v="1"/>
    <s v="REG100387"/>
    <x v="378"/>
    <n v="5.86"/>
    <x v="315"/>
    <d v="2024-09-01T00:00:00"/>
    <x v="1"/>
    <n v="7978.44"/>
    <n v="0"/>
    <n v="7978.44"/>
    <n v="2"/>
    <x v="0"/>
    <n v="0"/>
  </r>
  <r>
    <d v="2025-01-07T00:00:00"/>
    <x v="3"/>
    <x v="1"/>
    <x v="14"/>
    <n v="186.69"/>
    <s v="Store D"/>
    <x v="0"/>
    <n v="0"/>
    <x v="5"/>
    <n v="2426.9699999999998"/>
    <x v="4"/>
    <s v="FREESHIP"/>
    <n v="0"/>
    <s v="REG100388"/>
    <x v="379"/>
    <n v="19.920000000000002"/>
    <x v="316"/>
    <d v="2025-01-10T00:00:00"/>
    <x v="3"/>
    <n v="2426.9699999999998"/>
    <n v="0"/>
    <n v="2426.9699999999998"/>
    <n v="3"/>
    <x v="0"/>
    <n v="0"/>
  </r>
  <r>
    <d v="2025-02-05T00:00:00"/>
    <x v="1"/>
    <x v="1"/>
    <x v="18"/>
    <n v="34.659999999999997"/>
    <s v="Store C"/>
    <x v="1"/>
    <n v="0.05"/>
    <x v="1"/>
    <n v="526.83199999999988"/>
    <x v="3"/>
    <m/>
    <n v="0"/>
    <s v="REG100389"/>
    <x v="380"/>
    <n v="49.9"/>
    <x v="317"/>
    <d v="2025-02-11T00:00:00"/>
    <x v="1"/>
    <n v="554.55999999999995"/>
    <n v="27.727999999999998"/>
    <n v="526.83199999999999"/>
    <n v="6"/>
    <x v="284"/>
    <n v="0"/>
  </r>
  <r>
    <d v="2024-04-01T00:00:00"/>
    <x v="2"/>
    <x v="6"/>
    <x v="2"/>
    <n v="155.04"/>
    <s v="Store B"/>
    <x v="0"/>
    <n v="0.15"/>
    <x v="2"/>
    <n v="2372.1120000000001"/>
    <x v="4"/>
    <s v="WINTER15"/>
    <n v="0"/>
    <s v="REG100390"/>
    <x v="381"/>
    <n v="39.99"/>
    <x v="204"/>
    <d v="2024-04-04T00:00:00"/>
    <x v="2"/>
    <n v="2790.72"/>
    <n v="418.60799999999995"/>
    <n v="2372.1120000000001"/>
    <n v="3"/>
    <x v="285"/>
    <n v="0"/>
  </r>
  <r>
    <d v="2025-03-01T00:00:00"/>
    <x v="4"/>
    <x v="4"/>
    <x v="15"/>
    <n v="69.599999999999994"/>
    <s v="Store D"/>
    <x v="0"/>
    <n v="0.05"/>
    <x v="0"/>
    <n v="264.48"/>
    <x v="1"/>
    <s v="SAVE10"/>
    <n v="0"/>
    <s v="REG100391"/>
    <x v="382"/>
    <n v="17.68"/>
    <x v="89"/>
    <d v="2025-03-09T00:00:00"/>
    <x v="4"/>
    <n v="278.39999999999998"/>
    <n v="13.92"/>
    <n v="264.47999999999996"/>
    <n v="8"/>
    <x v="286"/>
    <n v="0"/>
  </r>
  <r>
    <d v="2023-07-03T00:00:00"/>
    <x v="3"/>
    <x v="4"/>
    <x v="14"/>
    <n v="55.09"/>
    <s v="Store A"/>
    <x v="0"/>
    <n v="0.15"/>
    <x v="4"/>
    <n v="608.74450000000002"/>
    <x v="4"/>
    <s v="FREESHIP"/>
    <n v="1"/>
    <s v="REG100392"/>
    <x v="383"/>
    <n v="47.78"/>
    <x v="318"/>
    <d v="2023-07-06T00:00:00"/>
    <x v="3"/>
    <n v="716.17000000000007"/>
    <n v="107.42550000000001"/>
    <n v="608.74450000000002"/>
    <n v="3"/>
    <x v="287"/>
    <n v="0"/>
  </r>
  <r>
    <d v="2023-04-25T00:00:00"/>
    <x v="3"/>
    <x v="0"/>
    <x v="14"/>
    <n v="206.11"/>
    <s v="Store B"/>
    <x v="1"/>
    <n v="0.15"/>
    <x v="5"/>
    <n v="2277.5155"/>
    <x v="1"/>
    <s v="SAVE10"/>
    <n v="1"/>
    <s v="REG100393"/>
    <x v="384"/>
    <n v="22.59"/>
    <x v="319"/>
    <d v="2023-05-01T00:00:00"/>
    <x v="3"/>
    <n v="2679.4300000000003"/>
    <n v="401.91450000000003"/>
    <n v="2277.5155000000004"/>
    <n v="6"/>
    <x v="288"/>
    <n v="0"/>
  </r>
  <r>
    <d v="2025-04-09T00:00:00"/>
    <x v="4"/>
    <x v="5"/>
    <x v="0"/>
    <n v="484.38"/>
    <s v="Store D"/>
    <x v="1"/>
    <n v="0.05"/>
    <x v="2"/>
    <n v="6442.253999999999"/>
    <x v="3"/>
    <s v="SAVE10"/>
    <n v="0"/>
    <s v="REG100394"/>
    <x v="385"/>
    <n v="29.24"/>
    <x v="320"/>
    <d v="2025-04-19T00:00:00"/>
    <x v="4"/>
    <n v="6781.32"/>
    <n v="339.06600000000003"/>
    <n v="6442.2539999999999"/>
    <n v="10"/>
    <x v="289"/>
    <n v="0"/>
  </r>
  <r>
    <d v="2023-11-05T00:00:00"/>
    <x v="2"/>
    <x v="4"/>
    <x v="16"/>
    <n v="449.57"/>
    <s v="Store D"/>
    <x v="0"/>
    <n v="0"/>
    <x v="2"/>
    <n v="2697.42"/>
    <x v="1"/>
    <s v="WINTER15"/>
    <n v="0"/>
    <s v="REG100395"/>
    <x v="386"/>
    <n v="23.09"/>
    <x v="321"/>
    <d v="2023-11-12T00:00:00"/>
    <x v="2"/>
    <n v="2697.42"/>
    <n v="0"/>
    <n v="2697.42"/>
    <n v="7"/>
    <x v="0"/>
    <n v="0"/>
  </r>
  <r>
    <d v="2023-01-13T00:00:00"/>
    <x v="0"/>
    <x v="0"/>
    <x v="17"/>
    <n v="223.01"/>
    <s v="Store C"/>
    <x v="1"/>
    <n v="0"/>
    <x v="4"/>
    <n v="2007.09"/>
    <x v="4"/>
    <m/>
    <n v="1"/>
    <s v="REG100396"/>
    <x v="387"/>
    <n v="11.9"/>
    <x v="322"/>
    <d v="2023-01-19T00:00:00"/>
    <x v="0"/>
    <n v="2007.09"/>
    <n v="0"/>
    <n v="2007.09"/>
    <n v="6"/>
    <x v="0"/>
    <n v="0"/>
  </r>
  <r>
    <d v="2025-02-06T00:00:00"/>
    <x v="4"/>
    <x v="3"/>
    <x v="0"/>
    <n v="291.91000000000003"/>
    <s v="Store A"/>
    <x v="1"/>
    <n v="0.15"/>
    <x v="2"/>
    <n v="3473.7289999999998"/>
    <x v="2"/>
    <m/>
    <n v="0"/>
    <s v="REG100397"/>
    <x v="388"/>
    <n v="27.51"/>
    <x v="323"/>
    <d v="2025-02-10T00:00:00"/>
    <x v="4"/>
    <n v="4086.7400000000002"/>
    <n v="613.01099999999997"/>
    <n v="3473.7290000000003"/>
    <n v="4"/>
    <x v="290"/>
    <n v="0"/>
  </r>
  <r>
    <d v="2023-05-20T00:00:00"/>
    <x v="1"/>
    <x v="4"/>
    <x v="14"/>
    <n v="90.86"/>
    <s v="Store A"/>
    <x v="0"/>
    <n v="0"/>
    <x v="3"/>
    <n v="1181.18"/>
    <x v="1"/>
    <s v="SAVE10"/>
    <n v="0"/>
    <s v="REG100398"/>
    <x v="389"/>
    <n v="16.739999999999998"/>
    <x v="42"/>
    <d v="2023-05-25T00:00:00"/>
    <x v="1"/>
    <n v="1181.18"/>
    <n v="0"/>
    <n v="1181.18"/>
    <n v="5"/>
    <x v="0"/>
    <n v="0"/>
  </r>
  <r>
    <d v="2025-06-18T00:00:00"/>
    <x v="0"/>
    <x v="2"/>
    <x v="15"/>
    <n v="109.05"/>
    <s v="Store D"/>
    <x v="0"/>
    <n v="0"/>
    <x v="4"/>
    <n v="436.2"/>
    <x v="1"/>
    <s v="WINTER15"/>
    <n v="0"/>
    <s v="REG100399"/>
    <x v="390"/>
    <n v="21.02"/>
    <x v="324"/>
    <d v="2025-06-24T00:00:00"/>
    <x v="0"/>
    <n v="436.2"/>
    <n v="0"/>
    <n v="436.2"/>
    <n v="6"/>
    <x v="0"/>
    <n v="0"/>
  </r>
  <r>
    <d v="2023-02-23T00:00:00"/>
    <x v="4"/>
    <x v="5"/>
    <x v="13"/>
    <n v="245.6"/>
    <s v="Store D"/>
    <x v="1"/>
    <n v="0"/>
    <x v="5"/>
    <n v="2947.2"/>
    <x v="4"/>
    <s v="FREESHIP"/>
    <n v="1"/>
    <s v="REG100400"/>
    <x v="391"/>
    <n v="43.92"/>
    <x v="0"/>
    <d v="2023-02-27T00:00:00"/>
    <x v="4"/>
    <n v="2947.2"/>
    <n v="0"/>
    <n v="2947.2"/>
    <n v="4"/>
    <x v="0"/>
    <n v="0"/>
  </r>
  <r>
    <d v="2024-11-09T00:00:00"/>
    <x v="0"/>
    <x v="6"/>
    <x v="7"/>
    <n v="380.03"/>
    <s v="Store A"/>
    <x v="1"/>
    <n v="0"/>
    <x v="5"/>
    <n v="5700.45"/>
    <x v="0"/>
    <m/>
    <n v="0"/>
    <s v="REG100401"/>
    <x v="392"/>
    <n v="25.72"/>
    <x v="325"/>
    <d v="2024-11-12T00:00:00"/>
    <x v="0"/>
    <n v="5700.45"/>
    <n v="0"/>
    <n v="5700.45"/>
    <n v="3"/>
    <x v="0"/>
    <n v="0"/>
  </r>
  <r>
    <d v="2024-07-25T00:00:00"/>
    <x v="1"/>
    <x v="5"/>
    <x v="5"/>
    <n v="417.58"/>
    <s v="Store D"/>
    <x v="1"/>
    <n v="0.05"/>
    <x v="2"/>
    <n v="1190.1030000000001"/>
    <x v="1"/>
    <s v="SAVE10"/>
    <n v="0"/>
    <s v="REG100402"/>
    <x v="393"/>
    <n v="43.42"/>
    <x v="245"/>
    <d v="2024-07-31T00:00:00"/>
    <x v="1"/>
    <n v="1252.74"/>
    <n v="62.637"/>
    <n v="1190.1030000000001"/>
    <n v="6"/>
    <x v="291"/>
    <n v="0"/>
  </r>
  <r>
    <d v="2023-08-19T00:00:00"/>
    <x v="4"/>
    <x v="0"/>
    <x v="7"/>
    <n v="432.17"/>
    <s v="Store D"/>
    <x v="0"/>
    <n v="0.15"/>
    <x v="2"/>
    <n v="5510.1674999999996"/>
    <x v="3"/>
    <s v="WINTER15"/>
    <n v="0"/>
    <s v="REG100403"/>
    <x v="394"/>
    <n v="44.88"/>
    <x v="326"/>
    <d v="2023-08-23T00:00:00"/>
    <x v="4"/>
    <n v="6482.55"/>
    <n v="972.38249999999994"/>
    <n v="5510.1675000000005"/>
    <n v="4"/>
    <x v="292"/>
    <n v="0"/>
  </r>
  <r>
    <d v="2023-11-13T00:00:00"/>
    <x v="1"/>
    <x v="4"/>
    <x v="14"/>
    <n v="531.77"/>
    <s v="Store C"/>
    <x v="1"/>
    <n v="0.1"/>
    <x v="5"/>
    <n v="6221.7090000000007"/>
    <x v="0"/>
    <s v="SAVE10"/>
    <n v="0"/>
    <s v="REG100404"/>
    <x v="395"/>
    <n v="37.909999999999997"/>
    <x v="327"/>
    <d v="2023-11-15T00:00:00"/>
    <x v="1"/>
    <n v="6913.01"/>
    <n v="691.30100000000004"/>
    <n v="6221.7089999999998"/>
    <n v="2"/>
    <x v="293"/>
    <n v="0"/>
  </r>
  <r>
    <d v="2024-09-10T00:00:00"/>
    <x v="4"/>
    <x v="5"/>
    <x v="14"/>
    <n v="442.99"/>
    <s v="Store A"/>
    <x v="0"/>
    <n v="0.05"/>
    <x v="1"/>
    <n v="5470.9264999999996"/>
    <x v="1"/>
    <s v="SAVE10"/>
    <n v="0"/>
    <s v="REG100405"/>
    <x v="396"/>
    <n v="37.119999999999997"/>
    <x v="328"/>
    <d v="2024-09-18T00:00:00"/>
    <x v="4"/>
    <n v="5758.87"/>
    <n v="287.94350000000003"/>
    <n v="5470.9264999999996"/>
    <n v="8"/>
    <x v="294"/>
    <n v="0"/>
  </r>
  <r>
    <d v="2024-08-30T00:00:00"/>
    <x v="3"/>
    <x v="3"/>
    <x v="14"/>
    <n v="567.5"/>
    <s v="Store A"/>
    <x v="1"/>
    <n v="0"/>
    <x v="0"/>
    <n v="7377.5"/>
    <x v="2"/>
    <m/>
    <n v="0"/>
    <s v="REG100406"/>
    <x v="397"/>
    <n v="28.41"/>
    <x v="315"/>
    <d v="2024-09-02T00:00:00"/>
    <x v="3"/>
    <n v="7377.5"/>
    <n v="0"/>
    <n v="7377.5"/>
    <n v="3"/>
    <x v="0"/>
    <n v="0"/>
  </r>
  <r>
    <d v="2024-11-10T00:00:00"/>
    <x v="0"/>
    <x v="5"/>
    <x v="7"/>
    <n v="469.52"/>
    <s v="Store C"/>
    <x v="0"/>
    <n v="0"/>
    <x v="1"/>
    <n v="7042.7999999999993"/>
    <x v="2"/>
    <s v="FREESHIP"/>
    <n v="0"/>
    <s v="REG100407"/>
    <x v="398"/>
    <n v="35.6"/>
    <x v="329"/>
    <d v="2024-11-17T00:00:00"/>
    <x v="0"/>
    <n v="7042.7999999999993"/>
    <n v="0"/>
    <n v="7042.7999999999993"/>
    <n v="7"/>
    <x v="0"/>
    <n v="0"/>
  </r>
  <r>
    <d v="2023-04-13T00:00:00"/>
    <x v="0"/>
    <x v="6"/>
    <x v="1"/>
    <n v="396.09"/>
    <s v="Store D"/>
    <x v="0"/>
    <n v="0.15"/>
    <x v="2"/>
    <n v="336.67649999999998"/>
    <x v="2"/>
    <s v="WINTER15"/>
    <n v="0"/>
    <s v="REG100408"/>
    <x v="399"/>
    <n v="39.380000000000003"/>
    <x v="330"/>
    <d v="2023-04-19T00:00:00"/>
    <x v="0"/>
    <n v="396.09"/>
    <n v="59.413499999999992"/>
    <n v="336.67649999999998"/>
    <n v="6"/>
    <x v="295"/>
    <n v="0"/>
  </r>
  <r>
    <d v="2023-11-20T00:00:00"/>
    <x v="0"/>
    <x v="0"/>
    <x v="13"/>
    <n v="195.73"/>
    <s v="Store C"/>
    <x v="0"/>
    <n v="0.05"/>
    <x v="1"/>
    <n v="2231.3220000000001"/>
    <x v="4"/>
    <s v="SAVE10"/>
    <n v="0"/>
    <s v="REG100409"/>
    <x v="400"/>
    <n v="37.090000000000003"/>
    <x v="331"/>
    <d v="2023-11-27T00:00:00"/>
    <x v="0"/>
    <n v="2348.7599999999998"/>
    <n v="117.43799999999999"/>
    <n v="2231.3219999999997"/>
    <n v="7"/>
    <x v="296"/>
    <n v="0"/>
  </r>
  <r>
    <d v="2025-04-14T00:00:00"/>
    <x v="2"/>
    <x v="6"/>
    <x v="6"/>
    <n v="412.24"/>
    <s v="Store B"/>
    <x v="0"/>
    <n v="0.15"/>
    <x v="3"/>
    <n v="1752.02"/>
    <x v="4"/>
    <s v="FREESHIP"/>
    <n v="0"/>
    <s v="REG100410"/>
    <x v="204"/>
    <n v="29.31"/>
    <x v="297"/>
    <d v="2025-04-19T00:00:00"/>
    <x v="2"/>
    <n v="2061.1999999999998"/>
    <n v="309.17999999999995"/>
    <n v="1752.02"/>
    <n v="5"/>
    <x v="297"/>
    <n v="0"/>
  </r>
  <r>
    <d v="2023-03-04T00:00:00"/>
    <x v="3"/>
    <x v="4"/>
    <x v="10"/>
    <n v="558.5"/>
    <s v="Store B"/>
    <x v="1"/>
    <n v="0.15"/>
    <x v="3"/>
    <n v="5221.9749999999995"/>
    <x v="4"/>
    <s v="WINTER15"/>
    <n v="0"/>
    <s v="REG100411"/>
    <x v="148"/>
    <n v="48.15"/>
    <x v="332"/>
    <d v="2023-03-09T00:00:00"/>
    <x v="3"/>
    <n v="6143.5"/>
    <n v="921.52499999999998"/>
    <n v="5221.9750000000004"/>
    <n v="5"/>
    <x v="298"/>
    <n v="0"/>
  </r>
  <r>
    <d v="2024-11-16T00:00:00"/>
    <x v="2"/>
    <x v="0"/>
    <x v="15"/>
    <n v="175.34"/>
    <s v="Store C"/>
    <x v="1"/>
    <n v="0.15"/>
    <x v="0"/>
    <n v="596.15599999999995"/>
    <x v="4"/>
    <s v="FREESHIP"/>
    <n v="0"/>
    <s v="REG100412"/>
    <x v="401"/>
    <n v="40.86"/>
    <x v="85"/>
    <d v="2024-11-19T00:00:00"/>
    <x v="2"/>
    <n v="701.36"/>
    <n v="105.20399999999999"/>
    <n v="596.15600000000006"/>
    <n v="3"/>
    <x v="299"/>
    <n v="0"/>
  </r>
  <r>
    <d v="2024-05-25T00:00:00"/>
    <x v="1"/>
    <x v="0"/>
    <x v="8"/>
    <n v="478.73"/>
    <s v="Store A"/>
    <x v="1"/>
    <n v="0"/>
    <x v="2"/>
    <n v="9095.8700000000008"/>
    <x v="3"/>
    <s v="WINTER15"/>
    <n v="1"/>
    <s v="REG100413"/>
    <x v="402"/>
    <n v="46.46"/>
    <x v="333"/>
    <d v="2024-06-02T00:00:00"/>
    <x v="1"/>
    <n v="9095.8700000000008"/>
    <n v="0"/>
    <n v="9095.8700000000008"/>
    <n v="8"/>
    <x v="0"/>
    <n v="0"/>
  </r>
  <r>
    <d v="2023-04-12T00:00:00"/>
    <x v="0"/>
    <x v="2"/>
    <x v="6"/>
    <n v="365.38"/>
    <s v="Store D"/>
    <x v="0"/>
    <n v="0.15"/>
    <x v="1"/>
    <n v="1552.865"/>
    <x v="3"/>
    <s v="SAVE10"/>
    <n v="1"/>
    <s v="REG100414"/>
    <x v="403"/>
    <n v="5.66"/>
    <x v="264"/>
    <d v="2023-04-15T00:00:00"/>
    <x v="0"/>
    <n v="1826.9"/>
    <n v="274.03500000000003"/>
    <n v="1552.865"/>
    <n v="3"/>
    <x v="300"/>
    <n v="0"/>
  </r>
  <r>
    <d v="2023-03-07T00:00:00"/>
    <x v="1"/>
    <x v="2"/>
    <x v="12"/>
    <n v="397.33"/>
    <s v="Store B"/>
    <x v="1"/>
    <n v="0.15"/>
    <x v="1"/>
    <n v="3377.3049999999998"/>
    <x v="2"/>
    <m/>
    <n v="0"/>
    <s v="REG100415"/>
    <x v="404"/>
    <n v="10.199999999999999"/>
    <x v="334"/>
    <d v="2023-03-13T00:00:00"/>
    <x v="1"/>
    <n v="3973.2999999999997"/>
    <n v="595.99499999999989"/>
    <n v="3377.3049999999998"/>
    <n v="6"/>
    <x v="301"/>
    <n v="0"/>
  </r>
  <r>
    <d v="2024-01-05T00:00:00"/>
    <x v="3"/>
    <x v="3"/>
    <x v="9"/>
    <n v="241.01"/>
    <s v="Store A"/>
    <x v="1"/>
    <n v="0.1"/>
    <x v="5"/>
    <n v="3687.453"/>
    <x v="3"/>
    <s v="WINTER15"/>
    <n v="0"/>
    <s v="REG100416"/>
    <x v="405"/>
    <n v="24.69"/>
    <x v="52"/>
    <d v="2024-01-11T00:00:00"/>
    <x v="3"/>
    <n v="4097.17"/>
    <n v="409.71700000000004"/>
    <n v="3687.453"/>
    <n v="6"/>
    <x v="302"/>
    <n v="0"/>
  </r>
  <r>
    <d v="2024-10-31T00:00:00"/>
    <x v="4"/>
    <x v="2"/>
    <x v="9"/>
    <n v="82.2"/>
    <s v="Store C"/>
    <x v="0"/>
    <n v="0"/>
    <x v="1"/>
    <n v="1397.4"/>
    <x v="4"/>
    <s v="WINTER15"/>
    <n v="0"/>
    <s v="REG100417"/>
    <x v="406"/>
    <n v="32.5"/>
    <x v="335"/>
    <d v="2024-11-10T00:00:00"/>
    <x v="4"/>
    <n v="1397.4"/>
    <n v="0"/>
    <n v="1397.4"/>
    <n v="10"/>
    <x v="0"/>
    <n v="0"/>
  </r>
  <r>
    <d v="2024-05-08T00:00:00"/>
    <x v="4"/>
    <x v="4"/>
    <x v="18"/>
    <n v="170.77"/>
    <s v="Store C"/>
    <x v="1"/>
    <n v="0.1"/>
    <x v="2"/>
    <n v="2459.0880000000002"/>
    <x v="0"/>
    <s v="SAVE10"/>
    <n v="1"/>
    <s v="REG100418"/>
    <x v="407"/>
    <n v="45.93"/>
    <x v="336"/>
    <d v="2024-05-14T00:00:00"/>
    <x v="4"/>
    <n v="2732.32"/>
    <n v="273.23200000000003"/>
    <n v="2459.0880000000002"/>
    <n v="6"/>
    <x v="303"/>
    <n v="0"/>
  </r>
  <r>
    <d v="2024-03-05T00:00:00"/>
    <x v="3"/>
    <x v="4"/>
    <x v="1"/>
    <n v="8.1999999999999993"/>
    <s v="Store C"/>
    <x v="0"/>
    <n v="0.15"/>
    <x v="2"/>
    <n v="6.9699999999999989"/>
    <x v="3"/>
    <m/>
    <n v="0"/>
    <s v="REG100419"/>
    <x v="408"/>
    <n v="30.35"/>
    <x v="337"/>
    <d v="2024-03-15T00:00:00"/>
    <x v="3"/>
    <n v="8.1999999999999993"/>
    <n v="1.2299999999999998"/>
    <n v="6.97"/>
    <n v="10"/>
    <x v="304"/>
    <n v="0"/>
  </r>
  <r>
    <d v="2023-07-18T00:00:00"/>
    <x v="2"/>
    <x v="0"/>
    <x v="13"/>
    <n v="425.78"/>
    <s v="Store A"/>
    <x v="1"/>
    <n v="0.1"/>
    <x v="5"/>
    <n v="4598.424"/>
    <x v="0"/>
    <m/>
    <n v="1"/>
    <s v="REG100420"/>
    <x v="409"/>
    <n v="25.48"/>
    <x v="338"/>
    <d v="2023-07-22T00:00:00"/>
    <x v="2"/>
    <n v="5109.3599999999997"/>
    <n v="510.93599999999998"/>
    <n v="4598.424"/>
    <n v="4"/>
    <x v="305"/>
    <n v="0"/>
  </r>
  <r>
    <d v="2023-08-05T00:00:00"/>
    <x v="1"/>
    <x v="6"/>
    <x v="11"/>
    <n v="121.14"/>
    <s v="Store C"/>
    <x v="1"/>
    <n v="0.1"/>
    <x v="5"/>
    <n v="2180.52"/>
    <x v="2"/>
    <s v="FREESHIP"/>
    <n v="0"/>
    <s v="REG100421"/>
    <x v="410"/>
    <n v="21.47"/>
    <x v="285"/>
    <d v="2023-08-14T00:00:00"/>
    <x v="1"/>
    <n v="2422.8000000000002"/>
    <n v="242.28000000000003"/>
    <n v="2180.52"/>
    <n v="9"/>
    <x v="306"/>
    <n v="0"/>
  </r>
  <r>
    <d v="2023-09-18T00:00:00"/>
    <x v="4"/>
    <x v="5"/>
    <x v="8"/>
    <n v="448.13"/>
    <s v="Store D"/>
    <x v="0"/>
    <n v="0"/>
    <x v="1"/>
    <n v="8514.4699999999993"/>
    <x v="3"/>
    <s v="FREESHIP"/>
    <n v="0"/>
    <s v="REG100422"/>
    <x v="411"/>
    <n v="28.29"/>
    <x v="339"/>
    <d v="2023-09-20T00:00:00"/>
    <x v="4"/>
    <n v="8514.4699999999993"/>
    <n v="0"/>
    <n v="8514.4699999999993"/>
    <n v="2"/>
    <x v="0"/>
    <n v="0"/>
  </r>
  <r>
    <d v="2023-03-27T00:00:00"/>
    <x v="1"/>
    <x v="0"/>
    <x v="19"/>
    <n v="7.81"/>
    <s v="Store D"/>
    <x v="0"/>
    <n v="0.1"/>
    <x v="2"/>
    <n v="56.231999999999999"/>
    <x v="0"/>
    <s v="SAVE10"/>
    <n v="0"/>
    <s v="REG100423"/>
    <x v="412"/>
    <n v="25.03"/>
    <x v="340"/>
    <d v="2023-03-29T00:00:00"/>
    <x v="1"/>
    <n v="62.48"/>
    <n v="6.2480000000000002"/>
    <n v="56.231999999999999"/>
    <n v="2"/>
    <x v="307"/>
    <n v="0"/>
  </r>
  <r>
    <d v="2023-03-08T00:00:00"/>
    <x v="0"/>
    <x v="3"/>
    <x v="8"/>
    <n v="191.44"/>
    <s v="Store C"/>
    <x v="0"/>
    <n v="0.15"/>
    <x v="3"/>
    <n v="3091.7559999999999"/>
    <x v="4"/>
    <s v="WINTER15"/>
    <n v="1"/>
    <s v="REG100424"/>
    <x v="413"/>
    <n v="35.54"/>
    <x v="341"/>
    <d v="2023-03-17T00:00:00"/>
    <x v="0"/>
    <n v="3637.36"/>
    <n v="545.60400000000004"/>
    <n v="3091.7560000000003"/>
    <n v="9"/>
    <x v="308"/>
    <n v="0"/>
  </r>
  <r>
    <d v="2024-05-02T00:00:00"/>
    <x v="4"/>
    <x v="2"/>
    <x v="6"/>
    <n v="245.2"/>
    <s v="Store B"/>
    <x v="1"/>
    <n v="0.15"/>
    <x v="0"/>
    <n v="1042.0999999999999"/>
    <x v="0"/>
    <m/>
    <n v="0"/>
    <s v="REG100425"/>
    <x v="414"/>
    <n v="46.37"/>
    <x v="342"/>
    <d v="2024-05-06T00:00:00"/>
    <x v="4"/>
    <n v="1226"/>
    <n v="183.9"/>
    <n v="1042.0999999999999"/>
    <n v="4"/>
    <x v="309"/>
    <n v="0"/>
  </r>
  <r>
    <d v="2023-09-16T00:00:00"/>
    <x v="2"/>
    <x v="2"/>
    <x v="9"/>
    <n v="163.37"/>
    <s v="Store B"/>
    <x v="0"/>
    <n v="0.15"/>
    <x v="0"/>
    <n v="2360.6965"/>
    <x v="1"/>
    <s v="SAVE10"/>
    <n v="0"/>
    <s v="REG100426"/>
    <x v="415"/>
    <n v="5.36"/>
    <x v="292"/>
    <d v="2023-09-26T00:00:00"/>
    <x v="2"/>
    <n v="2777.29"/>
    <n v="416.59350000000001"/>
    <n v="2360.6965"/>
    <n v="10"/>
    <x v="310"/>
    <n v="0"/>
  </r>
  <r>
    <d v="2023-06-13T00:00:00"/>
    <x v="1"/>
    <x v="5"/>
    <x v="0"/>
    <n v="583.96"/>
    <s v="Store C"/>
    <x v="1"/>
    <n v="0"/>
    <x v="4"/>
    <n v="8175.4400000000014"/>
    <x v="3"/>
    <s v="WINTER15"/>
    <n v="0"/>
    <s v="REG100427"/>
    <x v="416"/>
    <n v="23.03"/>
    <x v="343"/>
    <d v="2023-06-22T00:00:00"/>
    <x v="1"/>
    <n v="8175.4400000000005"/>
    <n v="0"/>
    <n v="8175.4400000000005"/>
    <n v="9"/>
    <x v="0"/>
    <n v="0"/>
  </r>
  <r>
    <d v="2023-11-05T00:00:00"/>
    <x v="2"/>
    <x v="2"/>
    <x v="18"/>
    <n v="181.08"/>
    <s v="Store C"/>
    <x v="1"/>
    <n v="0.1"/>
    <x v="3"/>
    <n v="2607.5520000000001"/>
    <x v="0"/>
    <s v="WINTER15"/>
    <n v="0"/>
    <s v="REG100428"/>
    <x v="417"/>
    <n v="39.840000000000003"/>
    <x v="321"/>
    <d v="2023-11-08T00:00:00"/>
    <x v="2"/>
    <n v="2897.28"/>
    <n v="289.72800000000001"/>
    <n v="2607.5520000000001"/>
    <n v="3"/>
    <x v="311"/>
    <n v="0"/>
  </r>
  <r>
    <d v="2024-11-23T00:00:00"/>
    <x v="1"/>
    <x v="5"/>
    <x v="19"/>
    <n v="414.94"/>
    <s v="Store A"/>
    <x v="0"/>
    <n v="0"/>
    <x v="1"/>
    <n v="3319.52"/>
    <x v="3"/>
    <s v="SAVE10"/>
    <n v="0"/>
    <s v="REG100429"/>
    <x v="418"/>
    <n v="46.58"/>
    <x v="344"/>
    <d v="2024-11-26T00:00:00"/>
    <x v="1"/>
    <n v="3319.52"/>
    <n v="0"/>
    <n v="3319.52"/>
    <n v="3"/>
    <x v="0"/>
    <n v="0"/>
  </r>
  <r>
    <d v="2024-02-09T00:00:00"/>
    <x v="3"/>
    <x v="1"/>
    <x v="18"/>
    <n v="442.22"/>
    <s v="Store B"/>
    <x v="1"/>
    <n v="0"/>
    <x v="1"/>
    <n v="7075.52"/>
    <x v="4"/>
    <s v="FREESHIP"/>
    <n v="0"/>
    <s v="REG100430"/>
    <x v="419"/>
    <n v="27.36"/>
    <x v="345"/>
    <d v="2024-02-18T00:00:00"/>
    <x v="3"/>
    <n v="7075.52"/>
    <n v="0"/>
    <n v="7075.52"/>
    <n v="9"/>
    <x v="0"/>
    <n v="0"/>
  </r>
  <r>
    <d v="2023-11-16T00:00:00"/>
    <x v="3"/>
    <x v="6"/>
    <x v="0"/>
    <n v="595.39"/>
    <s v="Store A"/>
    <x v="0"/>
    <n v="0.1"/>
    <x v="5"/>
    <n v="7501.9139999999998"/>
    <x v="2"/>
    <s v="SAVE10"/>
    <n v="0"/>
    <s v="REG100431"/>
    <x v="420"/>
    <n v="9.51"/>
    <x v="346"/>
    <d v="2023-11-22T00:00:00"/>
    <x v="3"/>
    <n v="8335.4599999999991"/>
    <n v="833.54599999999994"/>
    <n v="7501.9139999999989"/>
    <n v="6"/>
    <x v="312"/>
    <n v="0"/>
  </r>
  <r>
    <d v="2025-01-24T00:00:00"/>
    <x v="3"/>
    <x v="4"/>
    <x v="16"/>
    <n v="175.3"/>
    <s v="Store A"/>
    <x v="0"/>
    <n v="0.15"/>
    <x v="1"/>
    <n v="894.03000000000009"/>
    <x v="4"/>
    <s v="SAVE10"/>
    <n v="1"/>
    <s v="REG100432"/>
    <x v="421"/>
    <n v="17.920000000000002"/>
    <x v="239"/>
    <d v="2025-01-29T00:00:00"/>
    <x v="3"/>
    <n v="1051.8000000000002"/>
    <n v="157.77000000000001"/>
    <n v="894.0300000000002"/>
    <n v="5"/>
    <x v="313"/>
    <n v="0"/>
  </r>
  <r>
    <d v="2025-05-06T00:00:00"/>
    <x v="3"/>
    <x v="5"/>
    <x v="4"/>
    <n v="319.58999999999997"/>
    <s v="Store C"/>
    <x v="0"/>
    <n v="0.15"/>
    <x v="3"/>
    <n v="1901.5605"/>
    <x v="1"/>
    <s v="WINTER15"/>
    <n v="1"/>
    <s v="REG100433"/>
    <x v="422"/>
    <n v="8.4700000000000006"/>
    <x v="276"/>
    <d v="2025-05-09T00:00:00"/>
    <x v="3"/>
    <n v="2237.1299999999997"/>
    <n v="335.56949999999995"/>
    <n v="1901.5604999999996"/>
    <n v="3"/>
    <x v="314"/>
    <n v="0"/>
  </r>
  <r>
    <d v="2025-05-17T00:00:00"/>
    <x v="0"/>
    <x v="6"/>
    <x v="7"/>
    <n v="506.81"/>
    <s v="Store A"/>
    <x v="1"/>
    <n v="0.15"/>
    <x v="5"/>
    <n v="6461.8274999999994"/>
    <x v="4"/>
    <s v="FREESHIP"/>
    <n v="1"/>
    <s v="REG100434"/>
    <x v="423"/>
    <n v="41.03"/>
    <x v="347"/>
    <d v="2025-05-27T00:00:00"/>
    <x v="0"/>
    <n v="7602.15"/>
    <n v="1140.3225"/>
    <n v="6461.8274999999994"/>
    <n v="10"/>
    <x v="315"/>
    <n v="0"/>
  </r>
  <r>
    <d v="2023-11-29T00:00:00"/>
    <x v="3"/>
    <x v="0"/>
    <x v="9"/>
    <n v="538.08000000000004"/>
    <s v="Store A"/>
    <x v="1"/>
    <n v="0.05"/>
    <x v="0"/>
    <n v="8689.9920000000002"/>
    <x v="3"/>
    <s v="FREESHIP"/>
    <n v="0"/>
    <s v="REG100435"/>
    <x v="424"/>
    <n v="19.61"/>
    <x v="348"/>
    <d v="2023-12-01T00:00:00"/>
    <x v="3"/>
    <n v="9147.36"/>
    <n v="457.36800000000005"/>
    <n v="8689.9920000000002"/>
    <n v="2"/>
    <x v="316"/>
    <n v="0"/>
  </r>
  <r>
    <d v="2023-02-24T00:00:00"/>
    <x v="1"/>
    <x v="3"/>
    <x v="18"/>
    <n v="187.84"/>
    <s v="Store A"/>
    <x v="1"/>
    <n v="0"/>
    <x v="1"/>
    <n v="3005.44"/>
    <x v="2"/>
    <s v="SAVE10"/>
    <n v="0"/>
    <s v="REG100436"/>
    <x v="425"/>
    <n v="18.649999999999999"/>
    <x v="349"/>
    <d v="2023-02-26T00:00:00"/>
    <x v="1"/>
    <n v="3005.44"/>
    <n v="0"/>
    <n v="3005.44"/>
    <n v="2"/>
    <x v="0"/>
    <n v="0"/>
  </r>
  <r>
    <d v="2023-11-04T00:00:00"/>
    <x v="1"/>
    <x v="0"/>
    <x v="2"/>
    <n v="426.3"/>
    <s v="Store A"/>
    <x v="0"/>
    <n v="0.15"/>
    <x v="3"/>
    <n v="6522.39"/>
    <x v="2"/>
    <m/>
    <n v="1"/>
    <s v="REG100437"/>
    <x v="426"/>
    <n v="29.81"/>
    <x v="350"/>
    <d v="2023-11-10T00:00:00"/>
    <x v="1"/>
    <n v="7673.4000000000005"/>
    <n v="1151.01"/>
    <n v="6522.39"/>
    <n v="6"/>
    <x v="317"/>
    <n v="0"/>
  </r>
  <r>
    <d v="2024-06-15T00:00:00"/>
    <x v="0"/>
    <x v="2"/>
    <x v="1"/>
    <n v="498.35"/>
    <s v="Store B"/>
    <x v="1"/>
    <n v="0.1"/>
    <x v="1"/>
    <n v="448.51499999999999"/>
    <x v="0"/>
    <s v="FREESHIP"/>
    <n v="0"/>
    <s v="REG100438"/>
    <x v="427"/>
    <n v="34.700000000000003"/>
    <x v="351"/>
    <d v="2024-06-22T00:00:00"/>
    <x v="0"/>
    <n v="498.35"/>
    <n v="49.835000000000008"/>
    <n v="448.51499999999999"/>
    <n v="7"/>
    <x v="318"/>
    <n v="0"/>
  </r>
  <r>
    <d v="2024-10-02T00:00:00"/>
    <x v="2"/>
    <x v="5"/>
    <x v="8"/>
    <n v="385.72"/>
    <s v="Store A"/>
    <x v="1"/>
    <n v="0.05"/>
    <x v="3"/>
    <n v="6962.2460000000001"/>
    <x v="4"/>
    <s v="SAVE10"/>
    <n v="1"/>
    <s v="REG100439"/>
    <x v="428"/>
    <n v="12.46"/>
    <x v="352"/>
    <d v="2024-10-06T00:00:00"/>
    <x v="2"/>
    <n v="7328.68"/>
    <n v="366.43400000000003"/>
    <n v="6962.2460000000001"/>
    <n v="4"/>
    <x v="319"/>
    <n v="0"/>
  </r>
  <r>
    <d v="2023-06-03T00:00:00"/>
    <x v="4"/>
    <x v="5"/>
    <x v="5"/>
    <n v="54.37"/>
    <s v="Store B"/>
    <x v="0"/>
    <n v="0.1"/>
    <x v="2"/>
    <n v="146.79900000000001"/>
    <x v="2"/>
    <s v="WINTER15"/>
    <n v="0"/>
    <s v="REG100440"/>
    <x v="429"/>
    <n v="48.71"/>
    <x v="353"/>
    <d v="2023-06-13T00:00:00"/>
    <x v="4"/>
    <n v="163.10999999999999"/>
    <n v="16.311"/>
    <n v="146.79899999999998"/>
    <n v="10"/>
    <x v="320"/>
    <n v="0"/>
  </r>
  <r>
    <d v="2023-09-10T00:00:00"/>
    <x v="0"/>
    <x v="1"/>
    <x v="16"/>
    <n v="471.74"/>
    <s v="Store C"/>
    <x v="1"/>
    <n v="0.15"/>
    <x v="3"/>
    <n v="2405.8739999999998"/>
    <x v="0"/>
    <m/>
    <n v="0"/>
    <s v="REG100441"/>
    <x v="430"/>
    <n v="36.79"/>
    <x v="354"/>
    <d v="2023-09-18T00:00:00"/>
    <x v="0"/>
    <n v="2830.44"/>
    <n v="424.56599999999997"/>
    <n v="2405.8740000000003"/>
    <n v="8"/>
    <x v="321"/>
    <n v="0"/>
  </r>
  <r>
    <d v="2025-05-20T00:00:00"/>
    <x v="3"/>
    <x v="6"/>
    <x v="8"/>
    <n v="322.31"/>
    <s v="Store B"/>
    <x v="1"/>
    <n v="0.15"/>
    <x v="5"/>
    <n v="5205.3065000000006"/>
    <x v="4"/>
    <s v="FREESHIP"/>
    <n v="0"/>
    <s v="REG100442"/>
    <x v="431"/>
    <n v="33.950000000000003"/>
    <x v="355"/>
    <d v="2025-05-22T00:00:00"/>
    <x v="3"/>
    <n v="6123.89"/>
    <n v="918.58350000000007"/>
    <n v="5205.3065000000006"/>
    <n v="2"/>
    <x v="322"/>
    <n v="0"/>
  </r>
  <r>
    <d v="2023-09-24T00:00:00"/>
    <x v="2"/>
    <x v="5"/>
    <x v="14"/>
    <n v="115.86"/>
    <s v="Store A"/>
    <x v="0"/>
    <n v="0.1"/>
    <x v="4"/>
    <n v="1355.5619999999999"/>
    <x v="4"/>
    <m/>
    <n v="1"/>
    <s v="REG100443"/>
    <x v="432"/>
    <n v="28.52"/>
    <x v="356"/>
    <d v="2023-10-03T00:00:00"/>
    <x v="2"/>
    <n v="1506.18"/>
    <n v="150.61800000000002"/>
    <n v="1355.5620000000001"/>
    <n v="9"/>
    <x v="323"/>
    <n v="0"/>
  </r>
  <r>
    <d v="2025-03-29T00:00:00"/>
    <x v="0"/>
    <x v="5"/>
    <x v="2"/>
    <n v="398.26"/>
    <s v="Store B"/>
    <x v="1"/>
    <n v="0.1"/>
    <x v="5"/>
    <n v="6451.8120000000008"/>
    <x v="3"/>
    <m/>
    <n v="0"/>
    <s v="REG100444"/>
    <x v="433"/>
    <n v="16.8"/>
    <x v="259"/>
    <d v="2025-04-04T00:00:00"/>
    <x v="0"/>
    <n v="7168.68"/>
    <n v="716.86800000000005"/>
    <n v="6451.8119999999999"/>
    <n v="6"/>
    <x v="324"/>
    <n v="0"/>
  </r>
  <r>
    <d v="2023-06-17T00:00:00"/>
    <x v="0"/>
    <x v="3"/>
    <x v="15"/>
    <n v="584.79999999999995"/>
    <s v="Store B"/>
    <x v="1"/>
    <n v="0.1"/>
    <x v="0"/>
    <n v="2105.2800000000002"/>
    <x v="0"/>
    <s v="FREESHIP"/>
    <n v="0"/>
    <s v="REG100445"/>
    <x v="434"/>
    <n v="16.440000000000001"/>
    <x v="357"/>
    <d v="2023-06-25T00:00:00"/>
    <x v="0"/>
    <n v="2339.1999999999998"/>
    <n v="233.92"/>
    <n v="2105.2799999999997"/>
    <n v="8"/>
    <x v="325"/>
    <n v="0"/>
  </r>
  <r>
    <d v="2024-01-28T00:00:00"/>
    <x v="4"/>
    <x v="6"/>
    <x v="11"/>
    <n v="424.7"/>
    <s v="Store B"/>
    <x v="0"/>
    <n v="0.15"/>
    <x v="5"/>
    <n v="7219.9"/>
    <x v="0"/>
    <s v="FREESHIP"/>
    <n v="0"/>
    <s v="REG100446"/>
    <x v="435"/>
    <n v="42.03"/>
    <x v="275"/>
    <d v="2024-02-05T00:00:00"/>
    <x v="4"/>
    <n v="8494"/>
    <n v="1274.0999999999999"/>
    <n v="7219.9"/>
    <n v="8"/>
    <x v="326"/>
    <n v="0"/>
  </r>
  <r>
    <d v="2023-03-14T00:00:00"/>
    <x v="3"/>
    <x v="3"/>
    <x v="18"/>
    <n v="179.22"/>
    <s v="Store D"/>
    <x v="1"/>
    <n v="0.1"/>
    <x v="1"/>
    <n v="2580.768"/>
    <x v="0"/>
    <s v="WINTER15"/>
    <n v="0"/>
    <s v="REG100447"/>
    <x v="436"/>
    <n v="45.99"/>
    <x v="358"/>
    <d v="2023-03-17T00:00:00"/>
    <x v="3"/>
    <n v="2867.52"/>
    <n v="286.75200000000001"/>
    <n v="2580.768"/>
    <n v="3"/>
    <x v="327"/>
    <n v="0"/>
  </r>
  <r>
    <d v="2025-01-09T00:00:00"/>
    <x v="0"/>
    <x v="0"/>
    <x v="13"/>
    <n v="148.66"/>
    <s v="Store A"/>
    <x v="0"/>
    <n v="0"/>
    <x v="4"/>
    <n v="1783.92"/>
    <x v="0"/>
    <m/>
    <n v="1"/>
    <s v="REG100448"/>
    <x v="437"/>
    <n v="27.16"/>
    <x v="359"/>
    <d v="2025-01-17T00:00:00"/>
    <x v="0"/>
    <n v="1783.92"/>
    <n v="0"/>
    <n v="1783.92"/>
    <n v="8"/>
    <x v="0"/>
    <n v="0"/>
  </r>
  <r>
    <d v="2025-03-30T00:00:00"/>
    <x v="3"/>
    <x v="1"/>
    <x v="18"/>
    <n v="460.43"/>
    <s v="Store B"/>
    <x v="0"/>
    <n v="0.15"/>
    <x v="5"/>
    <n v="6261.848"/>
    <x v="0"/>
    <s v="WINTER15"/>
    <n v="0"/>
    <s v="REG100449"/>
    <x v="438"/>
    <n v="20.38"/>
    <x v="360"/>
    <d v="2025-04-06T00:00:00"/>
    <x v="3"/>
    <n v="7366.88"/>
    <n v="1105.0319999999999"/>
    <n v="6261.848"/>
    <n v="7"/>
    <x v="328"/>
    <n v="0"/>
  </r>
  <r>
    <d v="2023-10-23T00:00:00"/>
    <x v="0"/>
    <x v="5"/>
    <x v="6"/>
    <n v="334.37"/>
    <s v="Store B"/>
    <x v="1"/>
    <n v="0.05"/>
    <x v="3"/>
    <n v="1588.2574999999999"/>
    <x v="2"/>
    <m/>
    <n v="0"/>
    <s v="REG100450"/>
    <x v="225"/>
    <n v="32.130000000000003"/>
    <x v="25"/>
    <d v="2023-10-28T00:00:00"/>
    <x v="0"/>
    <n v="1671.85"/>
    <n v="83.592500000000001"/>
    <n v="1588.2574999999999"/>
    <n v="5"/>
    <x v="329"/>
    <n v="0"/>
  </r>
  <r>
    <d v="2025-06-08T00:00:00"/>
    <x v="4"/>
    <x v="4"/>
    <x v="5"/>
    <n v="599.72"/>
    <s v="Store D"/>
    <x v="1"/>
    <n v="0.15"/>
    <x v="1"/>
    <n v="1529.2860000000001"/>
    <x v="0"/>
    <s v="WINTER15"/>
    <n v="1"/>
    <s v="REG100451"/>
    <x v="439"/>
    <n v="14.93"/>
    <x v="119"/>
    <d v="2025-06-14T00:00:00"/>
    <x v="4"/>
    <n v="1799.16"/>
    <n v="269.87400000000002"/>
    <n v="1529.2860000000001"/>
    <n v="6"/>
    <x v="330"/>
    <n v="0"/>
  </r>
  <r>
    <d v="2024-02-26T00:00:00"/>
    <x v="4"/>
    <x v="4"/>
    <x v="10"/>
    <n v="389.84"/>
    <s v="Store D"/>
    <x v="0"/>
    <n v="0"/>
    <x v="1"/>
    <n v="4288.24"/>
    <x v="1"/>
    <s v="SAVE10"/>
    <n v="1"/>
    <s v="REG100452"/>
    <x v="440"/>
    <n v="10.24"/>
    <x v="361"/>
    <d v="2024-02-29T00:00:00"/>
    <x v="4"/>
    <n v="4288.24"/>
    <n v="0"/>
    <n v="4288.24"/>
    <n v="3"/>
    <x v="0"/>
    <n v="0"/>
  </r>
  <r>
    <d v="2024-10-30T00:00:00"/>
    <x v="0"/>
    <x v="3"/>
    <x v="10"/>
    <n v="445.75"/>
    <s v="Store A"/>
    <x v="0"/>
    <n v="0.1"/>
    <x v="2"/>
    <n v="4412.9250000000002"/>
    <x v="0"/>
    <s v="SAVE10"/>
    <n v="0"/>
    <s v="REG100453"/>
    <x v="441"/>
    <n v="18.07"/>
    <x v="362"/>
    <d v="2024-11-07T00:00:00"/>
    <x v="0"/>
    <n v="4903.25"/>
    <n v="490.32500000000005"/>
    <n v="4412.9250000000002"/>
    <n v="8"/>
    <x v="331"/>
    <n v="0"/>
  </r>
  <r>
    <d v="2024-08-19T00:00:00"/>
    <x v="1"/>
    <x v="0"/>
    <x v="2"/>
    <n v="96.84"/>
    <s v="Store A"/>
    <x v="0"/>
    <n v="0.15"/>
    <x v="2"/>
    <n v="1481.652"/>
    <x v="4"/>
    <s v="SAVE10"/>
    <n v="1"/>
    <s v="REG100454"/>
    <x v="442"/>
    <n v="8.1"/>
    <x v="363"/>
    <d v="2024-08-23T00:00:00"/>
    <x v="1"/>
    <n v="1743.1200000000001"/>
    <n v="261.46800000000002"/>
    <n v="1481.652"/>
    <n v="4"/>
    <x v="332"/>
    <n v="0"/>
  </r>
  <r>
    <d v="2023-07-30T00:00:00"/>
    <x v="3"/>
    <x v="3"/>
    <x v="1"/>
    <n v="528.30999999999995"/>
    <s v="Store C"/>
    <x v="0"/>
    <n v="0.1"/>
    <x v="1"/>
    <n v="475.47899999999998"/>
    <x v="0"/>
    <s v="FREESHIP"/>
    <n v="0"/>
    <s v="REG100455"/>
    <x v="21"/>
    <n v="24.55"/>
    <x v="364"/>
    <d v="2023-08-09T00:00:00"/>
    <x v="3"/>
    <n v="528.30999999999995"/>
    <n v="52.830999999999996"/>
    <n v="475.47899999999993"/>
    <n v="10"/>
    <x v="333"/>
    <n v="0"/>
  </r>
  <r>
    <d v="2024-08-13T00:00:00"/>
    <x v="2"/>
    <x v="4"/>
    <x v="18"/>
    <n v="64.03"/>
    <s v="Store A"/>
    <x v="0"/>
    <n v="0"/>
    <x v="3"/>
    <n v="1024.48"/>
    <x v="1"/>
    <s v="WINTER15"/>
    <n v="1"/>
    <s v="REG100456"/>
    <x v="443"/>
    <n v="16.71"/>
    <x v="365"/>
    <d v="2024-08-23T00:00:00"/>
    <x v="2"/>
    <n v="1024.48"/>
    <n v="0"/>
    <n v="1024.48"/>
    <n v="10"/>
    <x v="0"/>
    <n v="0"/>
  </r>
  <r>
    <d v="2023-11-04T00:00:00"/>
    <x v="2"/>
    <x v="6"/>
    <x v="14"/>
    <n v="179.37"/>
    <s v="Store A"/>
    <x v="1"/>
    <n v="0.05"/>
    <x v="0"/>
    <n v="2215.2195000000002"/>
    <x v="0"/>
    <s v="FREESHIP"/>
    <n v="0"/>
    <s v="REG100457"/>
    <x v="444"/>
    <n v="35.28"/>
    <x v="350"/>
    <d v="2023-11-12T00:00:00"/>
    <x v="2"/>
    <n v="2331.81"/>
    <n v="116.59050000000001"/>
    <n v="2215.2195000000002"/>
    <n v="8"/>
    <x v="334"/>
    <n v="0"/>
  </r>
  <r>
    <d v="2025-06-05T00:00:00"/>
    <x v="0"/>
    <x v="6"/>
    <x v="8"/>
    <n v="491.15"/>
    <s v="Store C"/>
    <x v="1"/>
    <n v="0"/>
    <x v="2"/>
    <n v="9331.85"/>
    <x v="0"/>
    <m/>
    <n v="0"/>
    <s v="REG100458"/>
    <x v="445"/>
    <n v="48.68"/>
    <x v="20"/>
    <d v="2025-06-15T00:00:00"/>
    <x v="0"/>
    <n v="9331.85"/>
    <n v="0"/>
    <n v="9331.85"/>
    <n v="10"/>
    <x v="0"/>
    <n v="0"/>
  </r>
  <r>
    <d v="2023-06-23T00:00:00"/>
    <x v="2"/>
    <x v="6"/>
    <x v="6"/>
    <n v="360.34"/>
    <s v="Store C"/>
    <x v="0"/>
    <n v="0"/>
    <x v="3"/>
    <n v="1801.7"/>
    <x v="1"/>
    <m/>
    <n v="0"/>
    <s v="REG100459"/>
    <x v="446"/>
    <n v="33.76"/>
    <x v="366"/>
    <d v="2023-06-28T00:00:00"/>
    <x v="2"/>
    <n v="1801.6999999999998"/>
    <n v="0"/>
    <n v="1801.6999999999998"/>
    <n v="5"/>
    <x v="0"/>
    <n v="0"/>
  </r>
  <r>
    <d v="2024-09-21T00:00:00"/>
    <x v="1"/>
    <x v="0"/>
    <x v="11"/>
    <n v="296.8"/>
    <s v="Store A"/>
    <x v="1"/>
    <n v="0.1"/>
    <x v="2"/>
    <n v="5342.4000000000005"/>
    <x v="1"/>
    <m/>
    <n v="0"/>
    <s v="REG100460"/>
    <x v="447"/>
    <n v="19.57"/>
    <x v="367"/>
    <d v="2024-09-28T00:00:00"/>
    <x v="1"/>
    <n v="5936"/>
    <n v="593.6"/>
    <n v="5342.4"/>
    <n v="7"/>
    <x v="335"/>
    <n v="0"/>
  </r>
  <r>
    <d v="2024-01-01T00:00:00"/>
    <x v="1"/>
    <x v="2"/>
    <x v="5"/>
    <n v="599.41999999999996"/>
    <s v="Store A"/>
    <x v="0"/>
    <n v="0.1"/>
    <x v="5"/>
    <n v="1618.434"/>
    <x v="0"/>
    <s v="SAVE10"/>
    <n v="0"/>
    <s v="REG100461"/>
    <x v="448"/>
    <n v="48.02"/>
    <x v="223"/>
    <d v="2024-01-03T00:00:00"/>
    <x v="1"/>
    <n v="1798.2599999999998"/>
    <n v="179.82599999999999"/>
    <n v="1618.4339999999997"/>
    <n v="2"/>
    <x v="336"/>
    <n v="0"/>
  </r>
  <r>
    <d v="2025-01-02T00:00:00"/>
    <x v="4"/>
    <x v="0"/>
    <x v="1"/>
    <n v="374.33"/>
    <s v="Store B"/>
    <x v="0"/>
    <n v="0"/>
    <x v="3"/>
    <n v="374.33"/>
    <x v="2"/>
    <s v="FREESHIP"/>
    <n v="0"/>
    <s v="REG100462"/>
    <x v="449"/>
    <n v="33.31"/>
    <x v="368"/>
    <d v="2025-01-12T00:00:00"/>
    <x v="4"/>
    <n v="374.33"/>
    <n v="0"/>
    <n v="374.33"/>
    <n v="10"/>
    <x v="0"/>
    <n v="0"/>
  </r>
  <r>
    <d v="2024-03-14T00:00:00"/>
    <x v="2"/>
    <x v="2"/>
    <x v="14"/>
    <n v="588.79999999999995"/>
    <s v="Store D"/>
    <x v="0"/>
    <n v="0.15"/>
    <x v="2"/>
    <n v="6506.24"/>
    <x v="4"/>
    <s v="SAVE10"/>
    <n v="0"/>
    <s v="REG100463"/>
    <x v="450"/>
    <n v="45.03"/>
    <x v="47"/>
    <d v="2024-03-21T00:00:00"/>
    <x v="2"/>
    <n v="7654.4"/>
    <n v="1148.1599999999999"/>
    <n v="6506.24"/>
    <n v="7"/>
    <x v="337"/>
    <n v="0"/>
  </r>
  <r>
    <d v="2024-05-04T00:00:00"/>
    <x v="4"/>
    <x v="4"/>
    <x v="14"/>
    <n v="198.44"/>
    <s v="Store D"/>
    <x v="0"/>
    <n v="0"/>
    <x v="3"/>
    <n v="2579.7199999999998"/>
    <x v="4"/>
    <s v="SAVE10"/>
    <n v="1"/>
    <s v="REG100464"/>
    <x v="451"/>
    <n v="31.51"/>
    <x v="369"/>
    <d v="2024-05-09T00:00:00"/>
    <x v="4"/>
    <n v="2579.7199999999998"/>
    <n v="0"/>
    <n v="2579.7199999999998"/>
    <n v="5"/>
    <x v="0"/>
    <n v="0"/>
  </r>
  <r>
    <d v="2025-02-27T00:00:00"/>
    <x v="1"/>
    <x v="6"/>
    <x v="13"/>
    <n v="384.2"/>
    <s v="Store A"/>
    <x v="1"/>
    <n v="0"/>
    <x v="0"/>
    <n v="4610.3999999999996"/>
    <x v="4"/>
    <s v="FREESHIP"/>
    <n v="0"/>
    <s v="REG100465"/>
    <x v="302"/>
    <n v="38.99"/>
    <x v="370"/>
    <d v="2025-03-02T00:00:00"/>
    <x v="1"/>
    <n v="4610.3999999999996"/>
    <n v="0"/>
    <n v="4610.3999999999996"/>
    <n v="3"/>
    <x v="0"/>
    <n v="0"/>
  </r>
  <r>
    <d v="2024-11-13T00:00:00"/>
    <x v="3"/>
    <x v="1"/>
    <x v="15"/>
    <n v="475.49"/>
    <s v="Store B"/>
    <x v="0"/>
    <n v="0.15"/>
    <x v="2"/>
    <n v="1616.6659999999999"/>
    <x v="4"/>
    <s v="WINTER15"/>
    <n v="0"/>
    <s v="REG100466"/>
    <x v="452"/>
    <n v="11.6"/>
    <x v="371"/>
    <d v="2024-11-17T00:00:00"/>
    <x v="3"/>
    <n v="1901.96"/>
    <n v="285.29399999999998"/>
    <n v="1616.6660000000002"/>
    <n v="4"/>
    <x v="338"/>
    <n v="0"/>
  </r>
  <r>
    <d v="2023-10-31T00:00:00"/>
    <x v="4"/>
    <x v="6"/>
    <x v="16"/>
    <n v="202.97"/>
    <s v="Store C"/>
    <x v="1"/>
    <n v="0.1"/>
    <x v="0"/>
    <n v="1096.038"/>
    <x v="1"/>
    <s v="WINTER15"/>
    <n v="0"/>
    <s v="REG100467"/>
    <x v="453"/>
    <n v="43.55"/>
    <x v="372"/>
    <d v="2023-11-10T00:00:00"/>
    <x v="4"/>
    <n v="1217.82"/>
    <n v="121.782"/>
    <n v="1096.038"/>
    <n v="10"/>
    <x v="339"/>
    <n v="0"/>
  </r>
  <r>
    <d v="2023-12-19T00:00:00"/>
    <x v="3"/>
    <x v="5"/>
    <x v="2"/>
    <n v="135.22999999999999"/>
    <s v="Store C"/>
    <x v="0"/>
    <n v="0"/>
    <x v="4"/>
    <n v="2434.14"/>
    <x v="0"/>
    <s v="WINTER15"/>
    <n v="1"/>
    <s v="REG100468"/>
    <x v="454"/>
    <n v="46.1"/>
    <x v="373"/>
    <d v="2023-12-24T00:00:00"/>
    <x v="3"/>
    <n v="2434.14"/>
    <n v="0"/>
    <n v="2434.14"/>
    <n v="5"/>
    <x v="0"/>
    <n v="0"/>
  </r>
  <r>
    <d v="2023-11-27T00:00:00"/>
    <x v="1"/>
    <x v="5"/>
    <x v="11"/>
    <n v="356.4"/>
    <s v="Store C"/>
    <x v="0"/>
    <n v="0.05"/>
    <x v="4"/>
    <n v="6771.5999999999995"/>
    <x v="4"/>
    <s v="FREESHIP"/>
    <n v="1"/>
    <s v="REG100469"/>
    <x v="455"/>
    <n v="26.7"/>
    <x v="165"/>
    <d v="2023-12-03T00:00:00"/>
    <x v="1"/>
    <n v="7128"/>
    <n v="356.40000000000003"/>
    <n v="6771.6"/>
    <n v="6"/>
    <x v="340"/>
    <n v="0"/>
  </r>
  <r>
    <d v="2023-08-15T00:00:00"/>
    <x v="0"/>
    <x v="0"/>
    <x v="5"/>
    <n v="294.72000000000003"/>
    <s v="Store C"/>
    <x v="0"/>
    <n v="0.05"/>
    <x v="1"/>
    <n v="839.952"/>
    <x v="4"/>
    <s v="SAVE10"/>
    <n v="0"/>
    <s v="REG100470"/>
    <x v="456"/>
    <n v="45.33"/>
    <x v="374"/>
    <d v="2023-08-18T00:00:00"/>
    <x v="0"/>
    <n v="884.16000000000008"/>
    <n v="44.208000000000006"/>
    <n v="839.95200000000011"/>
    <n v="3"/>
    <x v="341"/>
    <n v="0"/>
  </r>
  <r>
    <d v="2023-01-16T00:00:00"/>
    <x v="4"/>
    <x v="1"/>
    <x v="11"/>
    <n v="553.85"/>
    <s v="Store A"/>
    <x v="1"/>
    <n v="0"/>
    <x v="2"/>
    <n v="11077"/>
    <x v="4"/>
    <s v="WINTER15"/>
    <n v="0"/>
    <s v="REG100471"/>
    <x v="457"/>
    <n v="33.21"/>
    <x v="375"/>
    <d v="2023-01-24T00:00:00"/>
    <x v="4"/>
    <n v="11077"/>
    <n v="0"/>
    <n v="11077"/>
    <n v="8"/>
    <x v="0"/>
    <n v="0"/>
  </r>
  <r>
    <d v="2025-02-28T00:00:00"/>
    <x v="3"/>
    <x v="5"/>
    <x v="14"/>
    <n v="81.17"/>
    <s v="Store D"/>
    <x v="1"/>
    <n v="0.1"/>
    <x v="2"/>
    <n v="949.68900000000008"/>
    <x v="4"/>
    <s v="SAVE10"/>
    <n v="1"/>
    <s v="REG100472"/>
    <x v="458"/>
    <n v="48.21"/>
    <x v="376"/>
    <d v="2025-03-08T00:00:00"/>
    <x v="3"/>
    <n v="1055.21"/>
    <n v="105.52100000000002"/>
    <n v="949.68900000000008"/>
    <n v="8"/>
    <x v="342"/>
    <n v="0"/>
  </r>
  <r>
    <d v="2023-11-28T00:00:00"/>
    <x v="4"/>
    <x v="1"/>
    <x v="3"/>
    <n v="532.51"/>
    <s v="Store B"/>
    <x v="0"/>
    <n v="0"/>
    <x v="3"/>
    <n v="1065.02"/>
    <x v="2"/>
    <s v="WINTER15"/>
    <n v="1"/>
    <s v="REG100473"/>
    <x v="459"/>
    <n v="49.67"/>
    <x v="206"/>
    <d v="2023-12-01T00:00:00"/>
    <x v="4"/>
    <n v="1065.02"/>
    <n v="0"/>
    <n v="1065.02"/>
    <n v="3"/>
    <x v="0"/>
    <n v="0"/>
  </r>
  <r>
    <d v="2023-12-04T00:00:00"/>
    <x v="4"/>
    <x v="6"/>
    <x v="1"/>
    <n v="268.19"/>
    <s v="Store B"/>
    <x v="0"/>
    <n v="0.1"/>
    <x v="3"/>
    <n v="241.37100000000001"/>
    <x v="1"/>
    <s v="WINTER15"/>
    <n v="0"/>
    <s v="REG100474"/>
    <x v="460"/>
    <n v="9.48"/>
    <x v="377"/>
    <d v="2023-12-13T00:00:00"/>
    <x v="4"/>
    <n v="268.19"/>
    <n v="26.819000000000003"/>
    <n v="241.37099999999998"/>
    <n v="9"/>
    <x v="343"/>
    <n v="0"/>
  </r>
  <r>
    <d v="2024-06-21T00:00:00"/>
    <x v="1"/>
    <x v="6"/>
    <x v="9"/>
    <n v="432.65"/>
    <s v="Store A"/>
    <x v="1"/>
    <n v="0.15"/>
    <x v="2"/>
    <n v="6251.7924999999996"/>
    <x v="4"/>
    <s v="FREESHIP"/>
    <n v="0"/>
    <s v="REG100475"/>
    <x v="461"/>
    <n v="18.850000000000001"/>
    <x v="378"/>
    <d v="2024-06-29T00:00:00"/>
    <x v="1"/>
    <n v="7355.0499999999993"/>
    <n v="1103.2574999999999"/>
    <n v="6251.7924999999996"/>
    <n v="8"/>
    <x v="344"/>
    <n v="0"/>
  </r>
  <r>
    <d v="2025-03-17T00:00:00"/>
    <x v="0"/>
    <x v="2"/>
    <x v="0"/>
    <n v="123.04"/>
    <s v="Store A"/>
    <x v="0"/>
    <n v="0.1"/>
    <x v="4"/>
    <n v="1550.3040000000001"/>
    <x v="4"/>
    <s v="WINTER15"/>
    <n v="1"/>
    <s v="REG100476"/>
    <x v="462"/>
    <n v="43.28"/>
    <x v="253"/>
    <d v="2025-03-26T00:00:00"/>
    <x v="0"/>
    <n v="1722.5600000000002"/>
    <n v="172.25600000000003"/>
    <n v="1550.3040000000001"/>
    <n v="9"/>
    <x v="345"/>
    <n v="0"/>
  </r>
  <r>
    <d v="2023-08-17T00:00:00"/>
    <x v="3"/>
    <x v="2"/>
    <x v="18"/>
    <n v="454.54"/>
    <s v="Store B"/>
    <x v="1"/>
    <n v="0.1"/>
    <x v="5"/>
    <n v="6545.3760000000002"/>
    <x v="0"/>
    <s v="FREESHIP"/>
    <n v="0"/>
    <s v="REG100477"/>
    <x v="463"/>
    <n v="20.55"/>
    <x v="379"/>
    <d v="2023-08-19T00:00:00"/>
    <x v="3"/>
    <n v="7272.64"/>
    <n v="727.26400000000012"/>
    <n v="6545.3760000000002"/>
    <n v="2"/>
    <x v="346"/>
    <n v="0"/>
  </r>
  <r>
    <d v="2023-08-30T00:00:00"/>
    <x v="3"/>
    <x v="4"/>
    <x v="10"/>
    <n v="414.58"/>
    <s v="Store D"/>
    <x v="0"/>
    <n v="0.05"/>
    <x v="4"/>
    <n v="4332.3609999999999"/>
    <x v="4"/>
    <s v="WINTER15"/>
    <n v="0"/>
    <s v="REG100478"/>
    <x v="151"/>
    <n v="25.33"/>
    <x v="286"/>
    <d v="2023-09-05T00:00:00"/>
    <x v="3"/>
    <n v="4560.38"/>
    <n v="228.01900000000001"/>
    <n v="4332.3609999999999"/>
    <n v="6"/>
    <x v="347"/>
    <n v="0"/>
  </r>
  <r>
    <d v="2025-06-16T00:00:00"/>
    <x v="0"/>
    <x v="1"/>
    <x v="17"/>
    <n v="352.91"/>
    <s v="Store B"/>
    <x v="0"/>
    <n v="0.1"/>
    <x v="5"/>
    <n v="2858.5709999999999"/>
    <x v="4"/>
    <s v="FREESHIP"/>
    <n v="0"/>
    <s v="REG100479"/>
    <x v="464"/>
    <n v="30.57"/>
    <x v="26"/>
    <d v="2025-06-18T00:00:00"/>
    <x v="0"/>
    <n v="3176.19"/>
    <n v="317.61900000000003"/>
    <n v="2858.5709999999999"/>
    <n v="2"/>
    <x v="348"/>
    <n v="0"/>
  </r>
  <r>
    <d v="2023-06-29T00:00:00"/>
    <x v="2"/>
    <x v="3"/>
    <x v="12"/>
    <n v="126.46"/>
    <s v="Store A"/>
    <x v="1"/>
    <n v="0.1"/>
    <x v="0"/>
    <n v="1138.1400000000001"/>
    <x v="0"/>
    <s v="WINTER15"/>
    <n v="0"/>
    <s v="REG100480"/>
    <x v="465"/>
    <n v="26.96"/>
    <x v="380"/>
    <d v="2023-07-09T00:00:00"/>
    <x v="2"/>
    <n v="1264.5999999999999"/>
    <n v="126.46"/>
    <n v="1138.1399999999999"/>
    <n v="10"/>
    <x v="349"/>
    <n v="0"/>
  </r>
  <r>
    <d v="2023-08-13T00:00:00"/>
    <x v="2"/>
    <x v="4"/>
    <x v="4"/>
    <n v="125.02"/>
    <s v="Store D"/>
    <x v="0"/>
    <n v="0"/>
    <x v="3"/>
    <n v="875.14"/>
    <x v="2"/>
    <s v="FREESHIP"/>
    <n v="0"/>
    <s v="REG100481"/>
    <x v="466"/>
    <n v="12.45"/>
    <x v="381"/>
    <d v="2023-08-20T00:00:00"/>
    <x v="2"/>
    <n v="875.14"/>
    <n v="0"/>
    <n v="875.14"/>
    <n v="7"/>
    <x v="0"/>
    <n v="0"/>
  </r>
  <r>
    <d v="2024-04-29T00:00:00"/>
    <x v="4"/>
    <x v="5"/>
    <x v="11"/>
    <n v="367.24"/>
    <s v="Store A"/>
    <x v="0"/>
    <n v="0.05"/>
    <x v="3"/>
    <n v="6977.5599999999986"/>
    <x v="1"/>
    <s v="FREESHIP"/>
    <n v="0"/>
    <s v="REG100482"/>
    <x v="467"/>
    <n v="45.67"/>
    <x v="131"/>
    <d v="2024-05-07T00:00:00"/>
    <x v="4"/>
    <n v="7344.8"/>
    <n v="367.24"/>
    <n v="6977.56"/>
    <n v="8"/>
    <x v="350"/>
    <n v="0"/>
  </r>
  <r>
    <d v="2023-07-15T00:00:00"/>
    <x v="4"/>
    <x v="4"/>
    <x v="19"/>
    <n v="432.12"/>
    <s v="Store B"/>
    <x v="1"/>
    <n v="0"/>
    <x v="4"/>
    <n v="3456.96"/>
    <x v="2"/>
    <s v="WINTER15"/>
    <n v="0"/>
    <s v="REG100483"/>
    <x v="468"/>
    <n v="42.1"/>
    <x v="382"/>
    <d v="2023-07-25T00:00:00"/>
    <x v="4"/>
    <n v="3456.96"/>
    <n v="0"/>
    <n v="3456.96"/>
    <n v="10"/>
    <x v="0"/>
    <n v="0"/>
  </r>
  <r>
    <d v="2025-01-17T00:00:00"/>
    <x v="2"/>
    <x v="5"/>
    <x v="5"/>
    <n v="13.33"/>
    <s v="Store D"/>
    <x v="1"/>
    <n v="0.1"/>
    <x v="0"/>
    <n v="35.991"/>
    <x v="4"/>
    <s v="SAVE10"/>
    <n v="0"/>
    <s v="REG100484"/>
    <x v="469"/>
    <n v="17.62"/>
    <x v="50"/>
    <d v="2025-01-23T00:00:00"/>
    <x v="2"/>
    <n v="39.99"/>
    <n v="3.9990000000000006"/>
    <n v="35.991"/>
    <n v="6"/>
    <x v="351"/>
    <n v="0"/>
  </r>
  <r>
    <d v="2025-02-21T00:00:00"/>
    <x v="0"/>
    <x v="6"/>
    <x v="14"/>
    <n v="105.93"/>
    <s v="Store C"/>
    <x v="1"/>
    <n v="0"/>
    <x v="5"/>
    <n v="1377.09"/>
    <x v="3"/>
    <s v="FREESHIP"/>
    <n v="0"/>
    <s v="REG100485"/>
    <x v="470"/>
    <n v="38.96"/>
    <x v="383"/>
    <d v="2025-03-03T00:00:00"/>
    <x v="0"/>
    <n v="1377.0900000000001"/>
    <n v="0"/>
    <n v="1377.0900000000001"/>
    <n v="10"/>
    <x v="0"/>
    <n v="0"/>
  </r>
  <r>
    <d v="2023-07-19T00:00:00"/>
    <x v="4"/>
    <x v="4"/>
    <x v="11"/>
    <n v="526.54999999999995"/>
    <s v="Store A"/>
    <x v="0"/>
    <n v="0"/>
    <x v="1"/>
    <n v="10531"/>
    <x v="3"/>
    <s v="FREESHIP"/>
    <n v="1"/>
    <s v="REG100486"/>
    <x v="471"/>
    <n v="25.64"/>
    <x v="384"/>
    <d v="2023-07-26T00:00:00"/>
    <x v="4"/>
    <n v="10531"/>
    <n v="0"/>
    <n v="10531"/>
    <n v="7"/>
    <x v="0"/>
    <n v="0"/>
  </r>
  <r>
    <d v="2024-09-29T00:00:00"/>
    <x v="4"/>
    <x v="1"/>
    <x v="10"/>
    <n v="339.78"/>
    <s v="Store A"/>
    <x v="1"/>
    <n v="0.05"/>
    <x v="4"/>
    <n v="3550.701"/>
    <x v="3"/>
    <s v="WINTER15"/>
    <n v="1"/>
    <s v="REG100487"/>
    <x v="472"/>
    <n v="11.56"/>
    <x v="385"/>
    <d v="2024-10-06T00:00:00"/>
    <x v="4"/>
    <n v="3737.58"/>
    <n v="186.87900000000002"/>
    <n v="3550.701"/>
    <n v="7"/>
    <x v="352"/>
    <n v="0"/>
  </r>
  <r>
    <d v="2024-10-17T00:00:00"/>
    <x v="0"/>
    <x v="0"/>
    <x v="12"/>
    <n v="91.75"/>
    <s v="Store D"/>
    <x v="0"/>
    <n v="0.15"/>
    <x v="2"/>
    <n v="779.875"/>
    <x v="4"/>
    <s v="WINTER15"/>
    <n v="0"/>
    <s v="REG100488"/>
    <x v="473"/>
    <n v="37.270000000000003"/>
    <x v="386"/>
    <d v="2024-10-21T00:00:00"/>
    <x v="0"/>
    <n v="917.5"/>
    <n v="137.625"/>
    <n v="779.875"/>
    <n v="4"/>
    <x v="353"/>
    <n v="0"/>
  </r>
  <r>
    <d v="2025-06-11T00:00:00"/>
    <x v="0"/>
    <x v="1"/>
    <x v="7"/>
    <n v="13.66"/>
    <s v="Store B"/>
    <x v="1"/>
    <n v="0.1"/>
    <x v="1"/>
    <n v="184.41"/>
    <x v="3"/>
    <s v="FREESHIP"/>
    <n v="0"/>
    <s v="REG100489"/>
    <x v="474"/>
    <n v="38.04"/>
    <x v="54"/>
    <d v="2025-06-17T00:00:00"/>
    <x v="0"/>
    <n v="204.9"/>
    <n v="20.490000000000002"/>
    <n v="184.41"/>
    <n v="6"/>
    <x v="354"/>
    <n v="0"/>
  </r>
  <r>
    <d v="2024-01-19T00:00:00"/>
    <x v="4"/>
    <x v="2"/>
    <x v="16"/>
    <n v="148.22999999999999"/>
    <s v="Store B"/>
    <x v="1"/>
    <n v="0.1"/>
    <x v="0"/>
    <n v="800.44199999999989"/>
    <x v="2"/>
    <s v="FREESHIP"/>
    <n v="0"/>
    <s v="REG100490"/>
    <x v="475"/>
    <n v="19.579999999999998"/>
    <x v="387"/>
    <d v="2024-01-29T00:00:00"/>
    <x v="4"/>
    <n v="889.37999999999988"/>
    <n v="88.937999999999988"/>
    <n v="800.44199999999989"/>
    <n v="10"/>
    <x v="355"/>
    <n v="0"/>
  </r>
  <r>
    <d v="2023-12-03T00:00:00"/>
    <x v="0"/>
    <x v="3"/>
    <x v="10"/>
    <n v="495.03"/>
    <s v="Store D"/>
    <x v="0"/>
    <n v="0.15"/>
    <x v="2"/>
    <n v="4628.5304999999998"/>
    <x v="4"/>
    <s v="WINTER15"/>
    <n v="0"/>
    <s v="REG100491"/>
    <x v="476"/>
    <n v="27.37"/>
    <x v="388"/>
    <d v="2023-12-05T00:00:00"/>
    <x v="0"/>
    <n v="5445.33"/>
    <n v="816.79949999999997"/>
    <n v="4628.5304999999998"/>
    <n v="2"/>
    <x v="356"/>
    <n v="0"/>
  </r>
  <r>
    <d v="2024-06-19T00:00:00"/>
    <x v="3"/>
    <x v="3"/>
    <x v="16"/>
    <n v="247.2"/>
    <s v="Store A"/>
    <x v="0"/>
    <n v="0.05"/>
    <x v="4"/>
    <n v="1409.04"/>
    <x v="2"/>
    <s v="FREESHIP"/>
    <n v="0"/>
    <s v="REG100492"/>
    <x v="446"/>
    <n v="18.75"/>
    <x v="389"/>
    <d v="2024-06-27T00:00:00"/>
    <x v="3"/>
    <n v="1483.1999999999998"/>
    <n v="74.16"/>
    <n v="1409.0399999999997"/>
    <n v="8"/>
    <x v="357"/>
    <n v="0"/>
  </r>
  <r>
    <d v="2024-10-16T00:00:00"/>
    <x v="4"/>
    <x v="5"/>
    <x v="8"/>
    <n v="207.45"/>
    <s v="Store C"/>
    <x v="1"/>
    <n v="0.05"/>
    <x v="5"/>
    <n v="3744.4724999999989"/>
    <x v="3"/>
    <s v="SAVE10"/>
    <n v="0"/>
    <s v="REG100493"/>
    <x v="477"/>
    <n v="11.5"/>
    <x v="8"/>
    <d v="2024-10-21T00:00:00"/>
    <x v="4"/>
    <n v="3941.5499999999997"/>
    <n v="197.07749999999999"/>
    <n v="3744.4724999999999"/>
    <n v="5"/>
    <x v="358"/>
    <n v="0"/>
  </r>
  <r>
    <d v="2025-01-23T00:00:00"/>
    <x v="0"/>
    <x v="0"/>
    <x v="3"/>
    <n v="370.78"/>
    <s v="Store D"/>
    <x v="0"/>
    <n v="0.15"/>
    <x v="4"/>
    <n v="630.32599999999991"/>
    <x v="0"/>
    <s v="FREESHIP"/>
    <n v="0"/>
    <s v="REG100494"/>
    <x v="478"/>
    <n v="20.45"/>
    <x v="187"/>
    <d v="2025-01-27T00:00:00"/>
    <x v="0"/>
    <n v="741.56"/>
    <n v="111.23399999999999"/>
    <n v="630.32599999999991"/>
    <n v="4"/>
    <x v="359"/>
    <n v="0"/>
  </r>
  <r>
    <d v="2023-10-02T00:00:00"/>
    <x v="3"/>
    <x v="0"/>
    <x v="17"/>
    <n v="146.72"/>
    <s v="Store A"/>
    <x v="0"/>
    <n v="0.1"/>
    <x v="4"/>
    <n v="1188.432"/>
    <x v="2"/>
    <m/>
    <n v="0"/>
    <s v="REG100495"/>
    <x v="479"/>
    <n v="10.45"/>
    <x v="390"/>
    <d v="2023-10-10T00:00:00"/>
    <x v="3"/>
    <n v="1320.48"/>
    <n v="132.048"/>
    <n v="1188.432"/>
    <n v="8"/>
    <x v="360"/>
    <n v="0"/>
  </r>
  <r>
    <d v="2023-11-05T00:00:00"/>
    <x v="0"/>
    <x v="2"/>
    <x v="13"/>
    <n v="159.85"/>
    <s v="Store D"/>
    <x v="1"/>
    <n v="0.1"/>
    <x v="1"/>
    <n v="1726.38"/>
    <x v="4"/>
    <s v="WINTER15"/>
    <n v="0"/>
    <s v="REG100496"/>
    <x v="480"/>
    <n v="32.61"/>
    <x v="321"/>
    <d v="2023-11-07T00:00:00"/>
    <x v="0"/>
    <n v="1918.1999999999998"/>
    <n v="191.82"/>
    <n v="1726.3799999999999"/>
    <n v="2"/>
    <x v="361"/>
    <n v="0"/>
  </r>
  <r>
    <d v="2023-06-18T00:00:00"/>
    <x v="1"/>
    <x v="6"/>
    <x v="14"/>
    <n v="181.68"/>
    <s v="Store C"/>
    <x v="0"/>
    <n v="0.05"/>
    <x v="4"/>
    <n v="2243.748"/>
    <x v="1"/>
    <s v="SAVE10"/>
    <n v="0"/>
    <s v="REG100497"/>
    <x v="481"/>
    <n v="14.69"/>
    <x v="391"/>
    <d v="2023-06-23T00:00:00"/>
    <x v="1"/>
    <n v="2361.84"/>
    <n v="118.09200000000001"/>
    <n v="2243.748"/>
    <n v="5"/>
    <x v="362"/>
    <n v="0"/>
  </r>
  <r>
    <d v="2024-07-15T00:00:00"/>
    <x v="3"/>
    <x v="1"/>
    <x v="18"/>
    <n v="34.159999999999997"/>
    <s v="Store A"/>
    <x v="1"/>
    <n v="0.15"/>
    <x v="5"/>
    <n v="464.57600000000002"/>
    <x v="4"/>
    <s v="SAVE10"/>
    <n v="0"/>
    <s v="REG100498"/>
    <x v="482"/>
    <n v="36.33"/>
    <x v="236"/>
    <d v="2024-07-21T00:00:00"/>
    <x v="3"/>
    <n v="546.55999999999995"/>
    <n v="81.983999999999995"/>
    <n v="464.57599999999996"/>
    <n v="6"/>
    <x v="363"/>
    <n v="0"/>
  </r>
  <r>
    <d v="2024-06-14T00:00:00"/>
    <x v="3"/>
    <x v="0"/>
    <x v="3"/>
    <n v="287.43"/>
    <s v="Store C"/>
    <x v="0"/>
    <n v="0.1"/>
    <x v="4"/>
    <n v="517.37400000000002"/>
    <x v="4"/>
    <s v="WINTER15"/>
    <n v="0"/>
    <s v="REG100499"/>
    <x v="223"/>
    <n v="25.34"/>
    <x v="392"/>
    <d v="2024-06-23T00:00:00"/>
    <x v="3"/>
    <n v="574.86"/>
    <n v="57.486000000000004"/>
    <n v="517.37400000000002"/>
    <n v="9"/>
    <x v="364"/>
    <n v="0"/>
  </r>
  <r>
    <d v="2024-04-05T00:00:00"/>
    <x v="0"/>
    <x v="4"/>
    <x v="7"/>
    <n v="405.95"/>
    <s v="Store D"/>
    <x v="0"/>
    <n v="0.15"/>
    <x v="0"/>
    <n v="5175.8625000000002"/>
    <x v="1"/>
    <m/>
    <n v="0"/>
    <s v="REG100500"/>
    <x v="483"/>
    <n v="32.04"/>
    <x v="393"/>
    <d v="2024-04-10T00:00:00"/>
    <x v="0"/>
    <n v="6089.25"/>
    <n v="913.38749999999993"/>
    <n v="5175.8625000000002"/>
    <n v="5"/>
    <x v="365"/>
    <n v="0"/>
  </r>
  <r>
    <d v="2023-02-27T00:00:00"/>
    <x v="2"/>
    <x v="0"/>
    <x v="1"/>
    <n v="430.61"/>
    <s v="Store B"/>
    <x v="1"/>
    <n v="0"/>
    <x v="1"/>
    <n v="430.61"/>
    <x v="1"/>
    <s v="WINTER15"/>
    <n v="0"/>
    <s v="REG100501"/>
    <x v="484"/>
    <n v="14.53"/>
    <x v="274"/>
    <d v="2023-03-07T00:00:00"/>
    <x v="2"/>
    <n v="430.61"/>
    <n v="0"/>
    <n v="430.61"/>
    <n v="8"/>
    <x v="0"/>
    <n v="0"/>
  </r>
  <r>
    <d v="2023-07-31T00:00:00"/>
    <x v="4"/>
    <x v="0"/>
    <x v="6"/>
    <n v="508.05"/>
    <s v="Store D"/>
    <x v="1"/>
    <n v="0"/>
    <x v="2"/>
    <n v="2540.25"/>
    <x v="2"/>
    <s v="WINTER15"/>
    <n v="1"/>
    <s v="REG100502"/>
    <x v="485"/>
    <n v="35.630000000000003"/>
    <x v="65"/>
    <d v="2023-08-09T00:00:00"/>
    <x v="4"/>
    <n v="2540.25"/>
    <n v="0"/>
    <n v="2540.25"/>
    <n v="9"/>
    <x v="0"/>
    <n v="0"/>
  </r>
  <r>
    <d v="2023-03-03T00:00:00"/>
    <x v="4"/>
    <x v="0"/>
    <x v="14"/>
    <n v="522.97"/>
    <s v="Store C"/>
    <x v="1"/>
    <n v="0.15"/>
    <x v="3"/>
    <n v="5778.8185000000003"/>
    <x v="3"/>
    <s v="FREESHIP"/>
    <n v="0"/>
    <s v="REG100503"/>
    <x v="486"/>
    <n v="33.9"/>
    <x v="21"/>
    <d v="2023-03-10T00:00:00"/>
    <x v="4"/>
    <n v="6798.6100000000006"/>
    <n v="1019.7915"/>
    <n v="5778.8185000000003"/>
    <n v="7"/>
    <x v="366"/>
    <n v="0"/>
  </r>
  <r>
    <d v="2023-04-26T00:00:00"/>
    <x v="1"/>
    <x v="0"/>
    <x v="9"/>
    <n v="260.25"/>
    <s v="Store D"/>
    <x v="0"/>
    <n v="0.1"/>
    <x v="2"/>
    <n v="3981.8249999999998"/>
    <x v="2"/>
    <s v="SAVE10"/>
    <n v="0"/>
    <s v="REG100504"/>
    <x v="487"/>
    <n v="23.26"/>
    <x v="394"/>
    <d v="2023-04-28T00:00:00"/>
    <x v="1"/>
    <n v="4424.25"/>
    <n v="442.42500000000001"/>
    <n v="3981.8249999999998"/>
    <n v="2"/>
    <x v="367"/>
    <n v="0"/>
  </r>
  <r>
    <d v="2024-10-19T00:00:00"/>
    <x v="0"/>
    <x v="1"/>
    <x v="16"/>
    <n v="549.21"/>
    <s v="Store B"/>
    <x v="1"/>
    <n v="0.1"/>
    <x v="0"/>
    <n v="2965.7339999999999"/>
    <x v="2"/>
    <s v="WINTER15"/>
    <n v="1"/>
    <s v="REG100505"/>
    <x v="488"/>
    <n v="12.29"/>
    <x v="272"/>
    <d v="2024-10-27T00:00:00"/>
    <x v="0"/>
    <n v="3295.26"/>
    <n v="329.52600000000007"/>
    <n v="2965.7340000000004"/>
    <n v="8"/>
    <x v="368"/>
    <n v="0"/>
  </r>
  <r>
    <d v="2024-06-30T00:00:00"/>
    <x v="3"/>
    <x v="6"/>
    <x v="9"/>
    <n v="472.33"/>
    <s v="Store C"/>
    <x v="1"/>
    <n v="0.15"/>
    <x v="3"/>
    <n v="6825.1684999999998"/>
    <x v="3"/>
    <s v="WINTER15"/>
    <n v="0"/>
    <s v="REG100506"/>
    <x v="489"/>
    <n v="22.63"/>
    <x v="261"/>
    <d v="2024-07-04T00:00:00"/>
    <x v="3"/>
    <n v="8029.61"/>
    <n v="1204.4414999999999"/>
    <n v="6825.1684999999998"/>
    <n v="4"/>
    <x v="369"/>
    <n v="0"/>
  </r>
  <r>
    <d v="2024-10-11T00:00:00"/>
    <x v="4"/>
    <x v="0"/>
    <x v="17"/>
    <n v="596.83000000000004"/>
    <s v="Store A"/>
    <x v="1"/>
    <n v="0"/>
    <x v="0"/>
    <n v="5371.47"/>
    <x v="4"/>
    <s v="WINTER15"/>
    <n v="0"/>
    <s v="REG100507"/>
    <x v="76"/>
    <n v="6.43"/>
    <x v="395"/>
    <d v="2024-10-19T00:00:00"/>
    <x v="4"/>
    <n v="5371.47"/>
    <n v="0"/>
    <n v="5371.47"/>
    <n v="8"/>
    <x v="0"/>
    <n v="0"/>
  </r>
  <r>
    <d v="2025-06-14T00:00:00"/>
    <x v="3"/>
    <x v="4"/>
    <x v="7"/>
    <n v="154.04"/>
    <s v="Store D"/>
    <x v="1"/>
    <n v="0.1"/>
    <x v="1"/>
    <n v="2079.54"/>
    <x v="4"/>
    <s v="FREESHIP"/>
    <n v="1"/>
    <s v="REG100508"/>
    <x v="490"/>
    <n v="24.53"/>
    <x v="396"/>
    <d v="2025-06-23T00:00:00"/>
    <x v="3"/>
    <n v="2310.6"/>
    <n v="231.06"/>
    <n v="2079.54"/>
    <n v="9"/>
    <x v="370"/>
    <n v="0"/>
  </r>
  <r>
    <d v="2024-12-22T00:00:00"/>
    <x v="0"/>
    <x v="0"/>
    <x v="2"/>
    <n v="500.44"/>
    <s v="Store D"/>
    <x v="0"/>
    <n v="0.1"/>
    <x v="5"/>
    <n v="8107.1280000000006"/>
    <x v="2"/>
    <m/>
    <n v="0"/>
    <s v="REG100509"/>
    <x v="491"/>
    <n v="8.8699999999999992"/>
    <x v="397"/>
    <d v="2024-12-30T00:00:00"/>
    <x v="0"/>
    <n v="9007.92"/>
    <n v="900.79200000000003"/>
    <n v="8107.1279999999997"/>
    <n v="8"/>
    <x v="371"/>
    <n v="0"/>
  </r>
  <r>
    <d v="2024-04-22T00:00:00"/>
    <x v="4"/>
    <x v="5"/>
    <x v="6"/>
    <n v="382.17"/>
    <s v="Store C"/>
    <x v="0"/>
    <n v="0"/>
    <x v="4"/>
    <n v="1910.85"/>
    <x v="2"/>
    <s v="FREESHIP"/>
    <n v="0"/>
    <s v="REG100510"/>
    <x v="492"/>
    <n v="17.72"/>
    <x v="398"/>
    <d v="2024-04-25T00:00:00"/>
    <x v="4"/>
    <n v="1910.8500000000001"/>
    <n v="0"/>
    <n v="1910.8500000000001"/>
    <n v="3"/>
    <x v="0"/>
    <n v="0"/>
  </r>
  <r>
    <d v="2025-01-25T00:00:00"/>
    <x v="2"/>
    <x v="3"/>
    <x v="5"/>
    <n v="365.54"/>
    <s v="Store B"/>
    <x v="1"/>
    <n v="0.15"/>
    <x v="2"/>
    <n v="932.12700000000007"/>
    <x v="0"/>
    <m/>
    <n v="0"/>
    <s v="REG100511"/>
    <x v="493"/>
    <n v="45.89"/>
    <x v="59"/>
    <d v="2025-01-29T00:00:00"/>
    <x v="2"/>
    <n v="1096.6200000000001"/>
    <n v="164.49300000000002"/>
    <n v="932.12700000000007"/>
    <n v="4"/>
    <x v="372"/>
    <n v="0"/>
  </r>
  <r>
    <d v="2024-11-13T00:00:00"/>
    <x v="2"/>
    <x v="0"/>
    <x v="6"/>
    <n v="270.13"/>
    <s v="Store C"/>
    <x v="1"/>
    <n v="0.15"/>
    <x v="0"/>
    <n v="1148.0525"/>
    <x v="2"/>
    <m/>
    <n v="0"/>
    <s v="REG100512"/>
    <x v="494"/>
    <n v="15.74"/>
    <x v="371"/>
    <d v="2024-11-19T00:00:00"/>
    <x v="2"/>
    <n v="1350.65"/>
    <n v="202.5975"/>
    <n v="1148.0525"/>
    <n v="6"/>
    <x v="373"/>
    <n v="0"/>
  </r>
  <r>
    <d v="2023-03-16T00:00:00"/>
    <x v="0"/>
    <x v="5"/>
    <x v="3"/>
    <n v="480.15"/>
    <s v="Store D"/>
    <x v="1"/>
    <n v="0.15"/>
    <x v="4"/>
    <n v="816.255"/>
    <x v="0"/>
    <m/>
    <n v="0"/>
    <s v="REG100513"/>
    <x v="495"/>
    <n v="42.07"/>
    <x v="399"/>
    <d v="2023-03-21T00:00:00"/>
    <x v="0"/>
    <n v="960.3"/>
    <n v="144.04499999999999"/>
    <n v="816.255"/>
    <n v="5"/>
    <x v="374"/>
    <n v="0"/>
  </r>
  <r>
    <d v="2023-05-06T00:00:00"/>
    <x v="2"/>
    <x v="0"/>
    <x v="2"/>
    <n v="414.77"/>
    <s v="Store C"/>
    <x v="0"/>
    <n v="0.1"/>
    <x v="0"/>
    <n v="6719.2739999999994"/>
    <x v="2"/>
    <m/>
    <n v="1"/>
    <s v="REG100514"/>
    <x v="496"/>
    <n v="28.55"/>
    <x v="400"/>
    <d v="2023-05-15T00:00:00"/>
    <x v="2"/>
    <n v="7465.86"/>
    <n v="746.58600000000001"/>
    <n v="6719.2739999999994"/>
    <n v="9"/>
    <x v="375"/>
    <n v="0"/>
  </r>
  <r>
    <d v="2024-11-15T00:00:00"/>
    <x v="0"/>
    <x v="4"/>
    <x v="12"/>
    <n v="98.24"/>
    <s v="Store C"/>
    <x v="0"/>
    <n v="0"/>
    <x v="2"/>
    <n v="982.4"/>
    <x v="2"/>
    <s v="FREESHIP"/>
    <n v="1"/>
    <s v="REG100515"/>
    <x v="284"/>
    <n v="21.01"/>
    <x v="67"/>
    <d v="2024-11-17T00:00:00"/>
    <x v="0"/>
    <n v="982.4"/>
    <n v="0"/>
    <n v="982.4"/>
    <n v="2"/>
    <x v="0"/>
    <n v="0"/>
  </r>
  <r>
    <d v="2024-06-28T00:00:00"/>
    <x v="3"/>
    <x v="0"/>
    <x v="16"/>
    <n v="227.6"/>
    <s v="Store D"/>
    <x v="1"/>
    <n v="0.05"/>
    <x v="3"/>
    <n v="1297.32"/>
    <x v="3"/>
    <s v="FREESHIP"/>
    <n v="0"/>
    <s v="REG100516"/>
    <x v="497"/>
    <n v="38.22"/>
    <x v="163"/>
    <d v="2024-07-05T00:00:00"/>
    <x v="3"/>
    <n v="1365.6"/>
    <n v="68.28"/>
    <n v="1297.32"/>
    <n v="7"/>
    <x v="376"/>
    <n v="0"/>
  </r>
  <r>
    <d v="2025-05-11T00:00:00"/>
    <x v="3"/>
    <x v="4"/>
    <x v="6"/>
    <n v="136.13"/>
    <s v="Store C"/>
    <x v="1"/>
    <n v="0.15"/>
    <x v="3"/>
    <n v="578.55250000000001"/>
    <x v="0"/>
    <m/>
    <n v="0"/>
    <s v="REG100517"/>
    <x v="498"/>
    <n v="10.02"/>
    <x v="15"/>
    <d v="2025-05-20T00:00:00"/>
    <x v="3"/>
    <n v="680.65"/>
    <n v="102.0975"/>
    <n v="578.55250000000001"/>
    <n v="9"/>
    <x v="377"/>
    <n v="0"/>
  </r>
  <r>
    <d v="2023-02-26T00:00:00"/>
    <x v="3"/>
    <x v="5"/>
    <x v="6"/>
    <n v="489.13"/>
    <s v="Store C"/>
    <x v="1"/>
    <n v="0.1"/>
    <x v="4"/>
    <n v="2201.085"/>
    <x v="1"/>
    <s v="FREESHIP"/>
    <n v="0"/>
    <s v="REG100518"/>
    <x v="499"/>
    <n v="44.73"/>
    <x v="16"/>
    <d v="2023-03-04T00:00:00"/>
    <x v="3"/>
    <n v="2445.65"/>
    <n v="244.56500000000003"/>
    <n v="2201.085"/>
    <n v="6"/>
    <x v="378"/>
    <n v="0"/>
  </r>
  <r>
    <d v="2024-04-30T00:00:00"/>
    <x v="1"/>
    <x v="0"/>
    <x v="15"/>
    <n v="414.36"/>
    <s v="Store A"/>
    <x v="1"/>
    <n v="0"/>
    <x v="5"/>
    <n v="1657.44"/>
    <x v="3"/>
    <s v="FREESHIP"/>
    <n v="0"/>
    <s v="REG100519"/>
    <x v="500"/>
    <n v="8.02"/>
    <x v="401"/>
    <d v="2024-05-07T00:00:00"/>
    <x v="1"/>
    <n v="1657.44"/>
    <n v="0"/>
    <n v="1657.44"/>
    <n v="7"/>
    <x v="0"/>
    <n v="0"/>
  </r>
  <r>
    <d v="2025-03-11T00:00:00"/>
    <x v="0"/>
    <x v="0"/>
    <x v="16"/>
    <n v="138.26"/>
    <s v="Store B"/>
    <x v="1"/>
    <n v="0.15"/>
    <x v="0"/>
    <n v="705.12599999999998"/>
    <x v="0"/>
    <m/>
    <n v="1"/>
    <s v="REG100520"/>
    <x v="501"/>
    <n v="31.4"/>
    <x v="402"/>
    <d v="2025-03-13T00:00:00"/>
    <x v="0"/>
    <n v="829.56"/>
    <n v="124.43399999999998"/>
    <n v="705.12599999999998"/>
    <n v="2"/>
    <x v="379"/>
    <n v="0"/>
  </r>
  <r>
    <d v="2025-06-30T00:00:00"/>
    <x v="0"/>
    <x v="1"/>
    <x v="13"/>
    <n v="487.57"/>
    <s v="Store A"/>
    <x v="0"/>
    <n v="0.05"/>
    <x v="0"/>
    <n v="5558.2979999999998"/>
    <x v="4"/>
    <m/>
    <n v="0"/>
    <s v="REG100521"/>
    <x v="502"/>
    <n v="37.33"/>
    <x v="148"/>
    <d v="2025-07-10T00:00:00"/>
    <x v="0"/>
    <n v="5850.84"/>
    <n v="292.54200000000003"/>
    <n v="5558.2979999999998"/>
    <n v="10"/>
    <x v="380"/>
    <n v="0"/>
  </r>
  <r>
    <d v="2024-06-02T00:00:00"/>
    <x v="2"/>
    <x v="3"/>
    <x v="11"/>
    <n v="427.3"/>
    <s v="Store C"/>
    <x v="0"/>
    <n v="0.05"/>
    <x v="2"/>
    <n v="8118.7"/>
    <x v="1"/>
    <s v="FREESHIP"/>
    <n v="1"/>
    <s v="REG100522"/>
    <x v="503"/>
    <n v="25.19"/>
    <x v="403"/>
    <d v="2024-06-08T00:00:00"/>
    <x v="2"/>
    <n v="8546"/>
    <n v="427.3"/>
    <n v="8118.7"/>
    <n v="6"/>
    <x v="381"/>
    <n v="0"/>
  </r>
  <r>
    <d v="2024-09-01T00:00:00"/>
    <x v="1"/>
    <x v="0"/>
    <x v="18"/>
    <n v="588.91999999999996"/>
    <s v="Store D"/>
    <x v="0"/>
    <n v="0.15"/>
    <x v="1"/>
    <n v="8009.311999999999"/>
    <x v="4"/>
    <s v="FREESHIP"/>
    <n v="0"/>
    <s v="REG100523"/>
    <x v="504"/>
    <n v="7.89"/>
    <x v="404"/>
    <d v="2024-09-05T00:00:00"/>
    <x v="1"/>
    <n v="9422.7199999999993"/>
    <n v="1413.4079999999999"/>
    <n v="8009.3119999999999"/>
    <n v="4"/>
    <x v="382"/>
    <n v="0"/>
  </r>
  <r>
    <d v="2025-01-11T00:00:00"/>
    <x v="1"/>
    <x v="0"/>
    <x v="16"/>
    <n v="429.45"/>
    <s v="Store B"/>
    <x v="1"/>
    <n v="0.1"/>
    <x v="1"/>
    <n v="2319.0300000000002"/>
    <x v="4"/>
    <m/>
    <n v="0"/>
    <s v="REG100524"/>
    <x v="505"/>
    <n v="47.18"/>
    <x v="405"/>
    <d v="2025-01-18T00:00:00"/>
    <x v="1"/>
    <n v="2576.6999999999998"/>
    <n v="257.67"/>
    <n v="2319.0299999999997"/>
    <n v="7"/>
    <x v="383"/>
    <n v="0"/>
  </r>
  <r>
    <d v="2025-03-31T00:00:00"/>
    <x v="1"/>
    <x v="1"/>
    <x v="1"/>
    <n v="476"/>
    <s v="Store A"/>
    <x v="0"/>
    <n v="0.15"/>
    <x v="3"/>
    <n v="404.6"/>
    <x v="4"/>
    <s v="FREESHIP"/>
    <n v="0"/>
    <s v="REG100525"/>
    <x v="506"/>
    <n v="18.95"/>
    <x v="314"/>
    <d v="2025-04-03T00:00:00"/>
    <x v="1"/>
    <n v="476"/>
    <n v="71.399999999999991"/>
    <n v="404.6"/>
    <n v="3"/>
    <x v="384"/>
    <n v="0"/>
  </r>
  <r>
    <d v="2024-11-28T00:00:00"/>
    <x v="1"/>
    <x v="1"/>
    <x v="14"/>
    <n v="141.26"/>
    <s v="Store B"/>
    <x v="1"/>
    <n v="0"/>
    <x v="2"/>
    <n v="1836.38"/>
    <x v="0"/>
    <m/>
    <n v="0"/>
    <s v="REG100526"/>
    <x v="320"/>
    <n v="23.68"/>
    <x v="406"/>
    <d v="2024-12-05T00:00:00"/>
    <x v="1"/>
    <n v="1836.3799999999999"/>
    <n v="0"/>
    <n v="1836.3799999999999"/>
    <n v="7"/>
    <x v="0"/>
    <n v="0"/>
  </r>
  <r>
    <d v="2023-07-05T00:00:00"/>
    <x v="2"/>
    <x v="3"/>
    <x v="5"/>
    <n v="250.65"/>
    <s v="Store D"/>
    <x v="1"/>
    <n v="0.15"/>
    <x v="0"/>
    <n v="639.15750000000003"/>
    <x v="2"/>
    <s v="SAVE10"/>
    <n v="0"/>
    <s v="REG100527"/>
    <x v="507"/>
    <n v="44.46"/>
    <x v="407"/>
    <d v="2023-07-07T00:00:00"/>
    <x v="2"/>
    <n v="751.95"/>
    <n v="112.7925"/>
    <n v="639.15750000000003"/>
    <n v="2"/>
    <x v="385"/>
    <n v="0"/>
  </r>
  <r>
    <d v="2024-10-24T00:00:00"/>
    <x v="4"/>
    <x v="4"/>
    <x v="8"/>
    <n v="301.17"/>
    <s v="Store D"/>
    <x v="1"/>
    <n v="0.05"/>
    <x v="1"/>
    <n v="5436.1184999999996"/>
    <x v="3"/>
    <s v="WINTER15"/>
    <n v="0"/>
    <s v="REG100528"/>
    <x v="508"/>
    <n v="5.71"/>
    <x v="408"/>
    <d v="2024-11-03T00:00:00"/>
    <x v="4"/>
    <n v="5722.2300000000005"/>
    <n v="286.11150000000004"/>
    <n v="5436.1185000000005"/>
    <n v="10"/>
    <x v="386"/>
    <n v="0"/>
  </r>
  <r>
    <d v="2025-04-08T00:00:00"/>
    <x v="2"/>
    <x v="3"/>
    <x v="4"/>
    <n v="30.79"/>
    <s v="Store C"/>
    <x v="1"/>
    <n v="0.1"/>
    <x v="5"/>
    <n v="193.977"/>
    <x v="4"/>
    <s v="WINTER15"/>
    <n v="1"/>
    <s v="REG100529"/>
    <x v="509"/>
    <n v="11.39"/>
    <x v="409"/>
    <d v="2025-04-16T00:00:00"/>
    <x v="2"/>
    <n v="215.53"/>
    <n v="21.553000000000001"/>
    <n v="193.977"/>
    <n v="8"/>
    <x v="387"/>
    <n v="0"/>
  </r>
  <r>
    <d v="2024-06-05T00:00:00"/>
    <x v="0"/>
    <x v="0"/>
    <x v="1"/>
    <n v="561.6"/>
    <s v="Store A"/>
    <x v="0"/>
    <n v="0.15"/>
    <x v="1"/>
    <n v="477.36"/>
    <x v="3"/>
    <s v="SAVE10"/>
    <n v="0"/>
    <s v="REG100530"/>
    <x v="131"/>
    <n v="38.020000000000003"/>
    <x v="410"/>
    <d v="2024-06-10T00:00:00"/>
    <x v="0"/>
    <n v="561.6"/>
    <n v="84.24"/>
    <n v="477.36"/>
    <n v="5"/>
    <x v="388"/>
    <n v="0"/>
  </r>
  <r>
    <d v="2025-01-23T00:00:00"/>
    <x v="4"/>
    <x v="1"/>
    <x v="18"/>
    <n v="193.7"/>
    <s v="Store A"/>
    <x v="1"/>
    <n v="0.15"/>
    <x v="5"/>
    <n v="2634.32"/>
    <x v="2"/>
    <s v="SAVE10"/>
    <n v="0"/>
    <s v="REG100531"/>
    <x v="510"/>
    <n v="6.83"/>
    <x v="187"/>
    <d v="2025-01-29T00:00:00"/>
    <x v="4"/>
    <n v="3099.2"/>
    <n v="464.87999999999994"/>
    <n v="2634.3199999999997"/>
    <n v="6"/>
    <x v="389"/>
    <n v="0"/>
  </r>
  <r>
    <d v="2024-11-04T00:00:00"/>
    <x v="3"/>
    <x v="5"/>
    <x v="9"/>
    <n v="310.02999999999997"/>
    <s v="Store D"/>
    <x v="1"/>
    <n v="0.05"/>
    <x v="3"/>
    <n v="5006.9844999999987"/>
    <x v="0"/>
    <s v="FREESHIP"/>
    <n v="0"/>
    <s v="REG100532"/>
    <x v="511"/>
    <n v="8.06"/>
    <x v="208"/>
    <d v="2024-11-12T00:00:00"/>
    <x v="3"/>
    <n v="5270.5099999999993"/>
    <n v="263.52549999999997"/>
    <n v="5006.9844999999996"/>
    <n v="8"/>
    <x v="390"/>
    <n v="0"/>
  </r>
  <r>
    <d v="2024-01-01T00:00:00"/>
    <x v="4"/>
    <x v="6"/>
    <x v="14"/>
    <n v="204.67"/>
    <s v="Store A"/>
    <x v="1"/>
    <n v="0.15"/>
    <x v="1"/>
    <n v="2261.6035000000002"/>
    <x v="0"/>
    <m/>
    <n v="0"/>
    <s v="REG100533"/>
    <x v="512"/>
    <n v="6.76"/>
    <x v="223"/>
    <d v="2024-01-05T00:00:00"/>
    <x v="4"/>
    <n v="2660.71"/>
    <n v="399.10649999999998"/>
    <n v="2261.6035000000002"/>
    <n v="4"/>
    <x v="391"/>
    <n v="0"/>
  </r>
  <r>
    <d v="2024-04-09T00:00:00"/>
    <x v="3"/>
    <x v="6"/>
    <x v="5"/>
    <n v="250.11"/>
    <s v="Store D"/>
    <x v="0"/>
    <n v="0"/>
    <x v="1"/>
    <n v="750.33"/>
    <x v="1"/>
    <s v="FREESHIP"/>
    <n v="0"/>
    <s v="REG100534"/>
    <x v="513"/>
    <n v="36.35"/>
    <x v="173"/>
    <d v="2024-04-17T00:00:00"/>
    <x v="3"/>
    <n v="750.33"/>
    <n v="0"/>
    <n v="750.33"/>
    <n v="8"/>
    <x v="0"/>
    <n v="0"/>
  </r>
  <r>
    <d v="2025-01-17T00:00:00"/>
    <x v="2"/>
    <x v="2"/>
    <x v="13"/>
    <n v="526.82000000000005"/>
    <s v="Store A"/>
    <x v="1"/>
    <n v="0"/>
    <x v="2"/>
    <n v="6321.84"/>
    <x v="2"/>
    <s v="WINTER15"/>
    <n v="0"/>
    <s v="REG100535"/>
    <x v="514"/>
    <n v="29.75"/>
    <x v="50"/>
    <d v="2025-01-25T00:00:00"/>
    <x v="2"/>
    <n v="6321.84"/>
    <n v="0"/>
    <n v="6321.84"/>
    <n v="8"/>
    <x v="0"/>
    <n v="0"/>
  </r>
  <r>
    <d v="2024-09-22T00:00:00"/>
    <x v="0"/>
    <x v="3"/>
    <x v="2"/>
    <n v="575.1"/>
    <s v="Store D"/>
    <x v="0"/>
    <n v="0"/>
    <x v="5"/>
    <n v="10351.799999999999"/>
    <x v="0"/>
    <s v="FREESHIP"/>
    <n v="0"/>
    <s v="REG100536"/>
    <x v="515"/>
    <n v="35.32"/>
    <x v="309"/>
    <d v="2024-09-29T00:00:00"/>
    <x v="0"/>
    <n v="10351.800000000001"/>
    <n v="0"/>
    <n v="10351.800000000001"/>
    <n v="7"/>
    <x v="0"/>
    <n v="0"/>
  </r>
  <r>
    <d v="2023-01-20T00:00:00"/>
    <x v="0"/>
    <x v="4"/>
    <x v="19"/>
    <n v="325.52"/>
    <s v="Store C"/>
    <x v="1"/>
    <n v="0.1"/>
    <x v="2"/>
    <n v="2343.7440000000001"/>
    <x v="3"/>
    <s v="WINTER15"/>
    <n v="0"/>
    <s v="REG100537"/>
    <x v="516"/>
    <n v="45.59"/>
    <x v="411"/>
    <d v="2023-01-25T00:00:00"/>
    <x v="0"/>
    <n v="2604.16"/>
    <n v="260.416"/>
    <n v="2343.7439999999997"/>
    <n v="5"/>
    <x v="392"/>
    <n v="0"/>
  </r>
  <r>
    <d v="2024-01-12T00:00:00"/>
    <x v="2"/>
    <x v="4"/>
    <x v="0"/>
    <n v="157.13999999999999"/>
    <s v="Store A"/>
    <x v="0"/>
    <n v="0.15"/>
    <x v="4"/>
    <n v="1869.9659999999999"/>
    <x v="1"/>
    <s v="SAVE10"/>
    <n v="0"/>
    <s v="REG100538"/>
    <x v="517"/>
    <n v="36.04"/>
    <x v="412"/>
    <d v="2024-01-22T00:00:00"/>
    <x v="2"/>
    <n v="2199.96"/>
    <n v="329.99399999999997"/>
    <n v="1869.9660000000001"/>
    <n v="10"/>
    <x v="393"/>
    <n v="0"/>
  </r>
  <r>
    <d v="2024-04-08T00:00:00"/>
    <x v="3"/>
    <x v="0"/>
    <x v="12"/>
    <n v="100.26"/>
    <s v="Store D"/>
    <x v="0"/>
    <n v="0.05"/>
    <x v="3"/>
    <n v="952.47"/>
    <x v="1"/>
    <s v="SAVE10"/>
    <n v="0"/>
    <s v="REG100539"/>
    <x v="518"/>
    <n v="36.71"/>
    <x v="413"/>
    <d v="2024-04-15T00:00:00"/>
    <x v="3"/>
    <n v="1002.6"/>
    <n v="50.13"/>
    <n v="952.47"/>
    <n v="7"/>
    <x v="394"/>
    <n v="0"/>
  </r>
  <r>
    <d v="2023-04-27T00:00:00"/>
    <x v="3"/>
    <x v="0"/>
    <x v="17"/>
    <n v="554.48"/>
    <s v="Store C"/>
    <x v="0"/>
    <n v="0"/>
    <x v="3"/>
    <n v="4990.32"/>
    <x v="0"/>
    <m/>
    <n v="0"/>
    <s v="REG100540"/>
    <x v="519"/>
    <n v="48.26"/>
    <x v="178"/>
    <d v="2023-05-01T00:00:00"/>
    <x v="3"/>
    <n v="4990.32"/>
    <n v="0"/>
    <n v="4990.32"/>
    <n v="4"/>
    <x v="0"/>
    <n v="0"/>
  </r>
  <r>
    <d v="2024-07-17T00:00:00"/>
    <x v="2"/>
    <x v="1"/>
    <x v="15"/>
    <n v="375.96"/>
    <s v="Store C"/>
    <x v="1"/>
    <n v="0.15"/>
    <x v="3"/>
    <n v="1278.2639999999999"/>
    <x v="3"/>
    <m/>
    <n v="0"/>
    <s v="REG100541"/>
    <x v="520"/>
    <n v="44.99"/>
    <x v="414"/>
    <d v="2024-07-25T00:00:00"/>
    <x v="2"/>
    <n v="1503.84"/>
    <n v="225.57599999999999"/>
    <n v="1278.2639999999999"/>
    <n v="8"/>
    <x v="395"/>
    <n v="0"/>
  </r>
  <r>
    <d v="2024-02-17T00:00:00"/>
    <x v="3"/>
    <x v="4"/>
    <x v="0"/>
    <n v="485.21"/>
    <s v="Store A"/>
    <x v="1"/>
    <n v="0"/>
    <x v="2"/>
    <n v="6792.94"/>
    <x v="0"/>
    <s v="FREESHIP"/>
    <n v="0"/>
    <s v="REG100542"/>
    <x v="521"/>
    <n v="41.72"/>
    <x v="415"/>
    <d v="2024-02-23T00:00:00"/>
    <x v="3"/>
    <n v="6792.94"/>
    <n v="0"/>
    <n v="6792.94"/>
    <n v="6"/>
    <x v="0"/>
    <n v="0"/>
  </r>
  <r>
    <d v="2024-01-25T00:00:00"/>
    <x v="1"/>
    <x v="4"/>
    <x v="17"/>
    <n v="372.44"/>
    <s v="Store A"/>
    <x v="0"/>
    <n v="0.05"/>
    <x v="4"/>
    <n v="3184.3620000000001"/>
    <x v="1"/>
    <s v="FREESHIP"/>
    <n v="0"/>
    <s v="REG100543"/>
    <x v="522"/>
    <n v="41.87"/>
    <x v="109"/>
    <d v="2024-02-02T00:00:00"/>
    <x v="1"/>
    <n v="3351.96"/>
    <n v="167.59800000000001"/>
    <n v="3184.3620000000001"/>
    <n v="8"/>
    <x v="396"/>
    <n v="0"/>
  </r>
  <r>
    <d v="2024-03-24T00:00:00"/>
    <x v="3"/>
    <x v="0"/>
    <x v="4"/>
    <n v="140.53"/>
    <s v="Store D"/>
    <x v="1"/>
    <n v="0"/>
    <x v="2"/>
    <n v="983.71"/>
    <x v="3"/>
    <m/>
    <n v="1"/>
    <s v="REG100544"/>
    <x v="523"/>
    <n v="24.53"/>
    <x v="214"/>
    <d v="2024-04-02T00:00:00"/>
    <x v="3"/>
    <n v="983.71"/>
    <n v="0"/>
    <n v="983.71"/>
    <n v="9"/>
    <x v="0"/>
    <n v="0"/>
  </r>
  <r>
    <d v="2023-06-25T00:00:00"/>
    <x v="2"/>
    <x v="2"/>
    <x v="7"/>
    <n v="365.61"/>
    <s v="Store D"/>
    <x v="1"/>
    <n v="0.15"/>
    <x v="5"/>
    <n v="4661.5275000000001"/>
    <x v="4"/>
    <s v="FREESHIP"/>
    <n v="0"/>
    <s v="REG100545"/>
    <x v="524"/>
    <n v="35.840000000000003"/>
    <x v="416"/>
    <d v="2023-06-27T00:00:00"/>
    <x v="2"/>
    <n v="5484.1500000000005"/>
    <n v="822.62250000000006"/>
    <n v="4661.5275000000001"/>
    <n v="2"/>
    <x v="397"/>
    <n v="0"/>
  </r>
  <r>
    <d v="2023-04-17T00:00:00"/>
    <x v="1"/>
    <x v="0"/>
    <x v="11"/>
    <n v="353.97"/>
    <s v="Store B"/>
    <x v="0"/>
    <n v="0.15"/>
    <x v="2"/>
    <n v="6017.4900000000007"/>
    <x v="4"/>
    <s v="WINTER15"/>
    <n v="1"/>
    <s v="REG100546"/>
    <x v="525"/>
    <n v="22.05"/>
    <x v="417"/>
    <d v="2023-04-20T00:00:00"/>
    <x v="1"/>
    <n v="7079.4000000000005"/>
    <n v="1061.9100000000001"/>
    <n v="6017.4900000000007"/>
    <n v="3"/>
    <x v="398"/>
    <n v="0"/>
  </r>
  <r>
    <d v="2023-06-28T00:00:00"/>
    <x v="0"/>
    <x v="3"/>
    <x v="0"/>
    <n v="293.31"/>
    <s v="Store D"/>
    <x v="0"/>
    <n v="0"/>
    <x v="1"/>
    <n v="4106.34"/>
    <x v="1"/>
    <m/>
    <n v="0"/>
    <s v="REG100547"/>
    <x v="526"/>
    <n v="21.61"/>
    <x v="418"/>
    <d v="2023-06-30T00:00:00"/>
    <x v="0"/>
    <n v="4106.34"/>
    <n v="0"/>
    <n v="4106.34"/>
    <n v="2"/>
    <x v="0"/>
    <n v="0"/>
  </r>
  <r>
    <d v="2024-04-06T00:00:00"/>
    <x v="3"/>
    <x v="3"/>
    <x v="12"/>
    <n v="397.39"/>
    <s v="Store D"/>
    <x v="1"/>
    <n v="0.15"/>
    <x v="1"/>
    <n v="3377.8150000000001"/>
    <x v="1"/>
    <m/>
    <n v="0"/>
    <s v="REG100548"/>
    <x v="527"/>
    <n v="25.27"/>
    <x v="419"/>
    <d v="2024-04-16T00:00:00"/>
    <x v="3"/>
    <n v="3973.8999999999996"/>
    <n v="596.08499999999992"/>
    <n v="3377.8149999999996"/>
    <n v="10"/>
    <x v="399"/>
    <n v="0"/>
  </r>
  <r>
    <d v="2025-02-17T00:00:00"/>
    <x v="1"/>
    <x v="3"/>
    <x v="3"/>
    <n v="98.35"/>
    <s v="Store C"/>
    <x v="1"/>
    <n v="0"/>
    <x v="0"/>
    <n v="196.7"/>
    <x v="3"/>
    <s v="FREESHIP"/>
    <n v="0"/>
    <s v="REG100549"/>
    <x v="528"/>
    <n v="28.65"/>
    <x v="130"/>
    <d v="2025-02-19T00:00:00"/>
    <x v="1"/>
    <n v="196.7"/>
    <n v="0"/>
    <n v="196.7"/>
    <n v="2"/>
    <x v="0"/>
    <n v="0"/>
  </r>
  <r>
    <d v="2023-01-08T00:00:00"/>
    <x v="1"/>
    <x v="2"/>
    <x v="16"/>
    <n v="581.66999999999996"/>
    <s v="Store A"/>
    <x v="0"/>
    <n v="0"/>
    <x v="2"/>
    <n v="3490.02"/>
    <x v="3"/>
    <m/>
    <n v="0"/>
    <s v="REG100550"/>
    <x v="529"/>
    <n v="39.4"/>
    <x v="420"/>
    <d v="2023-01-11T00:00:00"/>
    <x v="1"/>
    <n v="3490.0199999999995"/>
    <n v="0"/>
    <n v="3490.0199999999995"/>
    <n v="3"/>
    <x v="0"/>
    <n v="0"/>
  </r>
  <r>
    <d v="2023-12-21T00:00:00"/>
    <x v="1"/>
    <x v="1"/>
    <x v="8"/>
    <n v="30.41"/>
    <s v="Store D"/>
    <x v="1"/>
    <n v="0.05"/>
    <x v="2"/>
    <n v="548.90049999999997"/>
    <x v="3"/>
    <s v="FREESHIP"/>
    <n v="0"/>
    <s v="REG100551"/>
    <x v="530"/>
    <n v="48.33"/>
    <x v="146"/>
    <d v="2023-12-31T00:00:00"/>
    <x v="1"/>
    <n v="577.79"/>
    <n v="28.889499999999998"/>
    <n v="548.90049999999997"/>
    <n v="10"/>
    <x v="400"/>
    <n v="0"/>
  </r>
  <r>
    <d v="2024-07-13T00:00:00"/>
    <x v="2"/>
    <x v="4"/>
    <x v="7"/>
    <n v="368.79"/>
    <s v="Store C"/>
    <x v="0"/>
    <n v="0.1"/>
    <x v="5"/>
    <n v="4978.6650000000009"/>
    <x v="1"/>
    <s v="WINTER15"/>
    <n v="0"/>
    <s v="REG100552"/>
    <x v="531"/>
    <n v="16.899999999999999"/>
    <x v="421"/>
    <d v="2024-07-15T00:00:00"/>
    <x v="2"/>
    <n v="5531.85"/>
    <n v="553.18500000000006"/>
    <n v="4978.665"/>
    <n v="2"/>
    <x v="401"/>
    <n v="0"/>
  </r>
  <r>
    <d v="2024-03-23T00:00:00"/>
    <x v="4"/>
    <x v="4"/>
    <x v="15"/>
    <n v="56.06"/>
    <s v="Store D"/>
    <x v="1"/>
    <n v="0.15"/>
    <x v="3"/>
    <n v="190.60400000000001"/>
    <x v="4"/>
    <s v="SAVE10"/>
    <n v="0"/>
    <s v="REG100553"/>
    <x v="532"/>
    <n v="10.77"/>
    <x v="105"/>
    <d v="2024-04-01T00:00:00"/>
    <x v="4"/>
    <n v="224.24"/>
    <n v="33.636000000000003"/>
    <n v="190.60400000000001"/>
    <n v="9"/>
    <x v="402"/>
    <n v="0"/>
  </r>
  <r>
    <d v="2024-03-19T00:00:00"/>
    <x v="4"/>
    <x v="3"/>
    <x v="4"/>
    <n v="15.65"/>
    <s v="Store D"/>
    <x v="0"/>
    <n v="0"/>
    <x v="3"/>
    <n v="109.55"/>
    <x v="3"/>
    <m/>
    <n v="0"/>
    <s v="REG100554"/>
    <x v="533"/>
    <n v="13.28"/>
    <x v="422"/>
    <d v="2024-03-25T00:00:00"/>
    <x v="4"/>
    <n v="109.55"/>
    <n v="0"/>
    <n v="109.55"/>
    <n v="6"/>
    <x v="0"/>
    <n v="0"/>
  </r>
  <r>
    <d v="2025-05-20T00:00:00"/>
    <x v="3"/>
    <x v="5"/>
    <x v="17"/>
    <n v="380.85"/>
    <s v="Store B"/>
    <x v="0"/>
    <n v="0"/>
    <x v="3"/>
    <n v="3427.65"/>
    <x v="4"/>
    <s v="FREESHIP"/>
    <n v="0"/>
    <s v="REG100555"/>
    <x v="380"/>
    <n v="33.4"/>
    <x v="355"/>
    <d v="2025-05-29T00:00:00"/>
    <x v="3"/>
    <n v="3427.65"/>
    <n v="0"/>
    <n v="3427.65"/>
    <n v="9"/>
    <x v="0"/>
    <n v="0"/>
  </r>
  <r>
    <d v="2025-01-19T00:00:00"/>
    <x v="1"/>
    <x v="3"/>
    <x v="10"/>
    <n v="587.21"/>
    <s v="Store C"/>
    <x v="0"/>
    <n v="0"/>
    <x v="3"/>
    <n v="6459.31"/>
    <x v="3"/>
    <s v="WINTER15"/>
    <n v="0"/>
    <s v="REG100556"/>
    <x v="534"/>
    <n v="34.32"/>
    <x v="423"/>
    <d v="2025-01-26T00:00:00"/>
    <x v="1"/>
    <n v="6459.31"/>
    <n v="0"/>
    <n v="6459.31"/>
    <n v="7"/>
    <x v="0"/>
    <n v="0"/>
  </r>
  <r>
    <d v="2023-05-28T00:00:00"/>
    <x v="1"/>
    <x v="6"/>
    <x v="9"/>
    <n v="554.25"/>
    <s v="Store A"/>
    <x v="0"/>
    <n v="0.1"/>
    <x v="4"/>
    <n v="8480.0249999999996"/>
    <x v="3"/>
    <m/>
    <n v="0"/>
    <s v="REG100557"/>
    <x v="535"/>
    <n v="8.66"/>
    <x v="424"/>
    <d v="2023-06-01T00:00:00"/>
    <x v="1"/>
    <n v="9422.25"/>
    <n v="942.22500000000002"/>
    <n v="8480.0249999999996"/>
    <n v="4"/>
    <x v="403"/>
    <n v="0"/>
  </r>
  <r>
    <d v="2023-10-28T00:00:00"/>
    <x v="0"/>
    <x v="6"/>
    <x v="5"/>
    <n v="410.23"/>
    <s v="Store A"/>
    <x v="0"/>
    <n v="0.15"/>
    <x v="4"/>
    <n v="1046.0864999999999"/>
    <x v="2"/>
    <s v="FREESHIP"/>
    <n v="0"/>
    <s v="REG100558"/>
    <x v="536"/>
    <n v="6.04"/>
    <x v="301"/>
    <d v="2023-11-03T00:00:00"/>
    <x v="0"/>
    <n v="1230.69"/>
    <n v="184.6035"/>
    <n v="1046.0865000000001"/>
    <n v="6"/>
    <x v="404"/>
    <n v="0"/>
  </r>
  <r>
    <d v="2023-11-25T00:00:00"/>
    <x v="4"/>
    <x v="4"/>
    <x v="6"/>
    <n v="99.23"/>
    <s v="Store B"/>
    <x v="1"/>
    <n v="0"/>
    <x v="0"/>
    <n v="496.15"/>
    <x v="3"/>
    <m/>
    <n v="0"/>
    <s v="REG100559"/>
    <x v="537"/>
    <n v="37.659999999999997"/>
    <x v="425"/>
    <d v="2023-12-02T00:00:00"/>
    <x v="4"/>
    <n v="496.15000000000003"/>
    <n v="0"/>
    <n v="496.15000000000003"/>
    <n v="7"/>
    <x v="0"/>
    <n v="0"/>
  </r>
  <r>
    <d v="2024-11-17T00:00:00"/>
    <x v="1"/>
    <x v="4"/>
    <x v="17"/>
    <n v="503.18"/>
    <s v="Store B"/>
    <x v="0"/>
    <n v="0"/>
    <x v="4"/>
    <n v="4528.62"/>
    <x v="1"/>
    <s v="SAVE10"/>
    <n v="1"/>
    <s v="REG100560"/>
    <x v="538"/>
    <n v="46.02"/>
    <x v="426"/>
    <d v="2024-11-24T00:00:00"/>
    <x v="1"/>
    <n v="4528.62"/>
    <n v="0"/>
    <n v="4528.62"/>
    <n v="7"/>
    <x v="0"/>
    <n v="0"/>
  </r>
  <r>
    <d v="2024-01-24T00:00:00"/>
    <x v="3"/>
    <x v="4"/>
    <x v="9"/>
    <n v="155.31"/>
    <s v="Store C"/>
    <x v="1"/>
    <n v="0.15"/>
    <x v="5"/>
    <n v="2244.2294999999999"/>
    <x v="2"/>
    <s v="WINTER15"/>
    <n v="0"/>
    <s v="REG100561"/>
    <x v="539"/>
    <n v="27.1"/>
    <x v="113"/>
    <d v="2024-01-29T00:00:00"/>
    <x v="3"/>
    <n v="2640.27"/>
    <n v="396.04050000000001"/>
    <n v="2244.2294999999999"/>
    <n v="5"/>
    <x v="405"/>
    <n v="0"/>
  </r>
  <r>
    <d v="2023-06-19T00:00:00"/>
    <x v="2"/>
    <x v="3"/>
    <x v="4"/>
    <n v="303.79000000000002"/>
    <s v="Store D"/>
    <x v="0"/>
    <n v="0.15"/>
    <x v="2"/>
    <n v="1807.5505000000001"/>
    <x v="2"/>
    <s v="SAVE10"/>
    <n v="0"/>
    <s v="REG100562"/>
    <x v="540"/>
    <n v="38.85"/>
    <x v="182"/>
    <d v="2023-06-29T00:00:00"/>
    <x v="2"/>
    <n v="2126.5300000000002"/>
    <n v="318.97950000000003"/>
    <n v="1807.5505000000003"/>
    <n v="10"/>
    <x v="406"/>
    <n v="0"/>
  </r>
  <r>
    <d v="2025-01-13T00:00:00"/>
    <x v="0"/>
    <x v="1"/>
    <x v="9"/>
    <n v="263.75"/>
    <s v="Store B"/>
    <x v="1"/>
    <n v="0"/>
    <x v="1"/>
    <n v="4483.75"/>
    <x v="0"/>
    <m/>
    <n v="1"/>
    <s v="REG100563"/>
    <x v="541"/>
    <n v="12.97"/>
    <x v="427"/>
    <d v="2025-01-18T00:00:00"/>
    <x v="0"/>
    <n v="4483.75"/>
    <n v="0"/>
    <n v="4483.75"/>
    <n v="5"/>
    <x v="0"/>
    <n v="0"/>
  </r>
  <r>
    <d v="2024-01-24T00:00:00"/>
    <x v="0"/>
    <x v="1"/>
    <x v="15"/>
    <n v="179.92"/>
    <s v="Store D"/>
    <x v="1"/>
    <n v="0.1"/>
    <x v="4"/>
    <n v="647.71199999999999"/>
    <x v="0"/>
    <s v="WINTER15"/>
    <n v="0"/>
    <s v="REG100564"/>
    <x v="542"/>
    <n v="35.26"/>
    <x v="113"/>
    <d v="2024-02-01T00:00:00"/>
    <x v="0"/>
    <n v="719.68"/>
    <n v="71.968000000000004"/>
    <n v="647.71199999999999"/>
    <n v="8"/>
    <x v="407"/>
    <n v="0"/>
  </r>
  <r>
    <d v="2025-01-06T00:00:00"/>
    <x v="1"/>
    <x v="6"/>
    <x v="3"/>
    <n v="264"/>
    <s v="Store D"/>
    <x v="1"/>
    <n v="0"/>
    <x v="5"/>
    <n v="528"/>
    <x v="1"/>
    <s v="SAVE10"/>
    <n v="0"/>
    <s v="REG100565"/>
    <x v="543"/>
    <n v="26.73"/>
    <x v="428"/>
    <d v="2025-01-14T00:00:00"/>
    <x v="1"/>
    <n v="528"/>
    <n v="0"/>
    <n v="528"/>
    <n v="8"/>
    <x v="0"/>
    <n v="0"/>
  </r>
  <r>
    <d v="2025-01-02T00:00:00"/>
    <x v="3"/>
    <x v="0"/>
    <x v="15"/>
    <n v="403.97"/>
    <s v="Store A"/>
    <x v="0"/>
    <n v="0.05"/>
    <x v="1"/>
    <n v="1535.086"/>
    <x v="4"/>
    <s v="WINTER15"/>
    <n v="0"/>
    <s v="REG100566"/>
    <x v="544"/>
    <n v="39.92"/>
    <x v="368"/>
    <d v="2025-01-09T00:00:00"/>
    <x v="3"/>
    <n v="1615.88"/>
    <n v="80.794000000000011"/>
    <n v="1535.086"/>
    <n v="7"/>
    <x v="408"/>
    <n v="0"/>
  </r>
  <r>
    <d v="2023-02-22T00:00:00"/>
    <x v="2"/>
    <x v="2"/>
    <x v="15"/>
    <n v="85.96"/>
    <s v="Store A"/>
    <x v="1"/>
    <n v="0.1"/>
    <x v="2"/>
    <n v="309.45600000000002"/>
    <x v="2"/>
    <m/>
    <n v="0"/>
    <s v="REG100567"/>
    <x v="545"/>
    <n v="32.119999999999997"/>
    <x v="429"/>
    <d v="2023-03-03T00:00:00"/>
    <x v="2"/>
    <n v="343.84"/>
    <n v="34.384"/>
    <n v="309.45599999999996"/>
    <n v="9"/>
    <x v="409"/>
    <n v="0"/>
  </r>
  <r>
    <d v="2025-02-06T00:00:00"/>
    <x v="0"/>
    <x v="2"/>
    <x v="3"/>
    <n v="93.49"/>
    <s v="Store A"/>
    <x v="0"/>
    <n v="0.1"/>
    <x v="1"/>
    <n v="168.28200000000001"/>
    <x v="3"/>
    <s v="WINTER15"/>
    <n v="0"/>
    <s v="REG100568"/>
    <x v="546"/>
    <n v="26.31"/>
    <x v="323"/>
    <d v="2025-02-16T00:00:00"/>
    <x v="0"/>
    <n v="186.98"/>
    <n v="18.698"/>
    <n v="168.28199999999998"/>
    <n v="10"/>
    <x v="410"/>
    <n v="0"/>
  </r>
  <r>
    <d v="2024-09-26T00:00:00"/>
    <x v="0"/>
    <x v="2"/>
    <x v="10"/>
    <n v="144.29"/>
    <s v="Store B"/>
    <x v="1"/>
    <n v="0.05"/>
    <x v="5"/>
    <n v="1507.8305"/>
    <x v="2"/>
    <s v="WINTER15"/>
    <n v="0"/>
    <s v="REG100569"/>
    <x v="408"/>
    <n v="11.91"/>
    <x v="217"/>
    <d v="2024-09-30T00:00:00"/>
    <x v="0"/>
    <n v="1587.1899999999998"/>
    <n v="79.359499999999997"/>
    <n v="1507.8304999999998"/>
    <n v="4"/>
    <x v="411"/>
    <n v="0"/>
  </r>
  <r>
    <d v="2025-03-28T00:00:00"/>
    <x v="2"/>
    <x v="3"/>
    <x v="2"/>
    <n v="553.23"/>
    <s v="Store D"/>
    <x v="0"/>
    <n v="0"/>
    <x v="2"/>
    <n v="9958.14"/>
    <x v="4"/>
    <s v="FREESHIP"/>
    <n v="0"/>
    <s v="REG100570"/>
    <x v="547"/>
    <n v="31.76"/>
    <x v="136"/>
    <d v="2025-04-01T00:00:00"/>
    <x v="2"/>
    <n v="9958.14"/>
    <n v="0"/>
    <n v="9958.14"/>
    <n v="4"/>
    <x v="0"/>
    <n v="0"/>
  </r>
  <r>
    <d v="2023-07-01T00:00:00"/>
    <x v="0"/>
    <x v="3"/>
    <x v="17"/>
    <n v="228.3"/>
    <s v="Store B"/>
    <x v="1"/>
    <n v="0.05"/>
    <x v="0"/>
    <n v="1951.9649999999999"/>
    <x v="3"/>
    <s v="FREESHIP"/>
    <n v="0"/>
    <s v="REG100571"/>
    <x v="548"/>
    <n v="8.75"/>
    <x v="430"/>
    <d v="2023-07-09T00:00:00"/>
    <x v="0"/>
    <n v="2054.7000000000003"/>
    <n v="102.73500000000001"/>
    <n v="1951.9650000000001"/>
    <n v="8"/>
    <x v="412"/>
    <n v="0"/>
  </r>
  <r>
    <d v="2023-04-29T00:00:00"/>
    <x v="4"/>
    <x v="2"/>
    <x v="4"/>
    <n v="235.94"/>
    <s v="Store D"/>
    <x v="0"/>
    <n v="0.1"/>
    <x v="1"/>
    <n v="1486.422"/>
    <x v="1"/>
    <s v="FREESHIP"/>
    <n v="0"/>
    <s v="REG100572"/>
    <x v="549"/>
    <n v="8.44"/>
    <x v="431"/>
    <d v="2023-05-04T00:00:00"/>
    <x v="4"/>
    <n v="1651.58"/>
    <n v="165.15800000000002"/>
    <n v="1486.422"/>
    <n v="5"/>
    <x v="413"/>
    <n v="0"/>
  </r>
  <r>
    <d v="2023-04-30T00:00:00"/>
    <x v="0"/>
    <x v="6"/>
    <x v="9"/>
    <n v="369.52"/>
    <s v="Store C"/>
    <x v="0"/>
    <n v="0"/>
    <x v="3"/>
    <n v="6281.84"/>
    <x v="1"/>
    <m/>
    <n v="0"/>
    <s v="REG100573"/>
    <x v="550"/>
    <n v="17.12"/>
    <x v="432"/>
    <d v="2023-05-06T00:00:00"/>
    <x v="0"/>
    <n v="6281.84"/>
    <n v="0"/>
    <n v="6281.84"/>
    <n v="6"/>
    <x v="0"/>
    <n v="0"/>
  </r>
  <r>
    <d v="2024-03-14T00:00:00"/>
    <x v="4"/>
    <x v="1"/>
    <x v="19"/>
    <n v="142.09"/>
    <s v="Store A"/>
    <x v="0"/>
    <n v="0"/>
    <x v="0"/>
    <n v="1136.72"/>
    <x v="2"/>
    <s v="WINTER15"/>
    <n v="0"/>
    <s v="REG100574"/>
    <x v="551"/>
    <n v="38.97"/>
    <x v="47"/>
    <d v="2024-03-20T00:00:00"/>
    <x v="4"/>
    <n v="1136.72"/>
    <n v="0"/>
    <n v="1136.72"/>
    <n v="6"/>
    <x v="0"/>
    <n v="0"/>
  </r>
  <r>
    <d v="2023-06-27T00:00:00"/>
    <x v="3"/>
    <x v="3"/>
    <x v="5"/>
    <n v="497.61"/>
    <s v="Store B"/>
    <x v="0"/>
    <n v="0.15"/>
    <x v="1"/>
    <n v="1268.9055000000001"/>
    <x v="4"/>
    <s v="FREESHIP"/>
    <n v="1"/>
    <s v="REG100575"/>
    <x v="552"/>
    <n v="13.97"/>
    <x v="161"/>
    <d v="2023-07-02T00:00:00"/>
    <x v="3"/>
    <n v="1492.83"/>
    <n v="223.92449999999999"/>
    <n v="1268.9054999999998"/>
    <n v="5"/>
    <x v="414"/>
    <n v="0"/>
  </r>
  <r>
    <d v="2024-04-10T00:00:00"/>
    <x v="2"/>
    <x v="0"/>
    <x v="8"/>
    <n v="9.48"/>
    <s v="Store A"/>
    <x v="0"/>
    <n v="0"/>
    <x v="3"/>
    <n v="180.12"/>
    <x v="0"/>
    <m/>
    <n v="0"/>
    <s v="REG100576"/>
    <x v="553"/>
    <n v="22.33"/>
    <x v="10"/>
    <d v="2024-04-12T00:00:00"/>
    <x v="2"/>
    <n v="180.12"/>
    <n v="0"/>
    <n v="180.12"/>
    <n v="2"/>
    <x v="0"/>
    <n v="0"/>
  </r>
  <r>
    <d v="2023-08-30T00:00:00"/>
    <x v="3"/>
    <x v="6"/>
    <x v="19"/>
    <n v="55.27"/>
    <s v="Store A"/>
    <x v="0"/>
    <n v="0.15"/>
    <x v="5"/>
    <n v="375.83600000000001"/>
    <x v="4"/>
    <s v="WINTER15"/>
    <n v="0"/>
    <s v="REG100577"/>
    <x v="554"/>
    <n v="16.84"/>
    <x v="286"/>
    <d v="2023-09-01T00:00:00"/>
    <x v="3"/>
    <n v="442.16"/>
    <n v="66.323999999999998"/>
    <n v="375.83600000000001"/>
    <n v="2"/>
    <x v="415"/>
    <n v="0"/>
  </r>
  <r>
    <d v="2023-10-23T00:00:00"/>
    <x v="4"/>
    <x v="0"/>
    <x v="9"/>
    <n v="25.95"/>
    <s v="Store B"/>
    <x v="0"/>
    <n v="0.05"/>
    <x v="5"/>
    <n v="419.09249999999997"/>
    <x v="1"/>
    <m/>
    <n v="0"/>
    <s v="REG100578"/>
    <x v="555"/>
    <n v="27.68"/>
    <x v="25"/>
    <d v="2023-10-30T00:00:00"/>
    <x v="4"/>
    <n v="441.15"/>
    <n v="22.057500000000001"/>
    <n v="419.09249999999997"/>
    <n v="7"/>
    <x v="416"/>
    <n v="0"/>
  </r>
  <r>
    <d v="2023-03-23T00:00:00"/>
    <x v="2"/>
    <x v="2"/>
    <x v="2"/>
    <n v="209.65"/>
    <s v="Store A"/>
    <x v="0"/>
    <n v="0.1"/>
    <x v="3"/>
    <n v="3396.33"/>
    <x v="3"/>
    <m/>
    <n v="0"/>
    <s v="REG100579"/>
    <x v="556"/>
    <n v="42.04"/>
    <x v="433"/>
    <d v="2023-03-30T00:00:00"/>
    <x v="2"/>
    <n v="3773.7000000000003"/>
    <n v="377.37000000000006"/>
    <n v="3396.3300000000004"/>
    <n v="7"/>
    <x v="417"/>
    <n v="0"/>
  </r>
  <r>
    <d v="2024-09-21T00:00:00"/>
    <x v="3"/>
    <x v="0"/>
    <x v="14"/>
    <n v="75.77"/>
    <s v="Store B"/>
    <x v="0"/>
    <n v="0.15"/>
    <x v="2"/>
    <n v="837.25850000000003"/>
    <x v="3"/>
    <s v="SAVE10"/>
    <n v="0"/>
    <s v="REG100580"/>
    <x v="557"/>
    <n v="41.94"/>
    <x v="367"/>
    <d v="2024-09-30T00:00:00"/>
    <x v="3"/>
    <n v="985.01"/>
    <n v="147.75149999999999"/>
    <n v="837.25850000000003"/>
    <n v="9"/>
    <x v="418"/>
    <n v="0"/>
  </r>
  <r>
    <d v="2024-12-26T00:00:00"/>
    <x v="4"/>
    <x v="5"/>
    <x v="6"/>
    <n v="307.83999999999997"/>
    <s v="Store B"/>
    <x v="0"/>
    <n v="0.1"/>
    <x v="5"/>
    <n v="1385.28"/>
    <x v="0"/>
    <s v="SAVE10"/>
    <n v="0"/>
    <s v="REG100581"/>
    <x v="558"/>
    <n v="13.61"/>
    <x v="215"/>
    <d v="2025-01-03T00:00:00"/>
    <x v="4"/>
    <n v="1539.1999999999998"/>
    <n v="153.91999999999999"/>
    <n v="1385.2799999999997"/>
    <n v="8"/>
    <x v="419"/>
    <n v="0"/>
  </r>
  <r>
    <d v="2023-02-26T00:00:00"/>
    <x v="0"/>
    <x v="1"/>
    <x v="14"/>
    <n v="6.5"/>
    <s v="Store A"/>
    <x v="0"/>
    <n v="0"/>
    <x v="4"/>
    <n v="84.5"/>
    <x v="4"/>
    <m/>
    <n v="0"/>
    <s v="REG100582"/>
    <x v="559"/>
    <n v="20.02"/>
    <x v="16"/>
    <d v="2023-03-03T00:00:00"/>
    <x v="0"/>
    <n v="84.5"/>
    <n v="0"/>
    <n v="84.5"/>
    <n v="5"/>
    <x v="0"/>
    <n v="0"/>
  </r>
  <r>
    <d v="2024-12-10T00:00:00"/>
    <x v="2"/>
    <x v="4"/>
    <x v="19"/>
    <n v="70.790000000000006"/>
    <s v="Store B"/>
    <x v="0"/>
    <n v="0"/>
    <x v="4"/>
    <n v="566.32000000000005"/>
    <x v="0"/>
    <m/>
    <n v="0"/>
    <s v="REG100583"/>
    <x v="560"/>
    <n v="46.35"/>
    <x v="434"/>
    <d v="2024-12-14T00:00:00"/>
    <x v="2"/>
    <n v="566.32000000000005"/>
    <n v="0"/>
    <n v="566.32000000000005"/>
    <n v="4"/>
    <x v="0"/>
    <n v="0"/>
  </r>
  <r>
    <d v="2025-01-01T00:00:00"/>
    <x v="0"/>
    <x v="0"/>
    <x v="9"/>
    <n v="584.70000000000005"/>
    <s v="Store D"/>
    <x v="1"/>
    <n v="0.1"/>
    <x v="0"/>
    <n v="8945.9100000000017"/>
    <x v="0"/>
    <m/>
    <n v="1"/>
    <s v="REG100584"/>
    <x v="561"/>
    <n v="46.59"/>
    <x v="435"/>
    <d v="2025-01-03T00:00:00"/>
    <x v="0"/>
    <n v="9939.9000000000015"/>
    <n v="993.99000000000024"/>
    <n v="8945.9100000000017"/>
    <n v="2"/>
    <x v="420"/>
    <n v="0"/>
  </r>
  <r>
    <d v="2025-03-14T00:00:00"/>
    <x v="0"/>
    <x v="1"/>
    <x v="15"/>
    <n v="23.27"/>
    <s v="Store C"/>
    <x v="0"/>
    <n v="0.15"/>
    <x v="4"/>
    <n v="79.117999999999995"/>
    <x v="0"/>
    <s v="SAVE10"/>
    <n v="0"/>
    <s v="REG100585"/>
    <x v="562"/>
    <n v="32.86"/>
    <x v="95"/>
    <d v="2025-03-21T00:00:00"/>
    <x v="0"/>
    <n v="93.08"/>
    <n v="13.962"/>
    <n v="79.117999999999995"/>
    <n v="7"/>
    <x v="421"/>
    <n v="0"/>
  </r>
  <r>
    <d v="2024-01-16T00:00:00"/>
    <x v="1"/>
    <x v="5"/>
    <x v="6"/>
    <n v="440.93"/>
    <s v="Store B"/>
    <x v="0"/>
    <n v="0.1"/>
    <x v="3"/>
    <n v="1984.1849999999999"/>
    <x v="1"/>
    <m/>
    <n v="0"/>
    <s v="REG100586"/>
    <x v="563"/>
    <n v="23.84"/>
    <x v="436"/>
    <d v="2024-01-20T00:00:00"/>
    <x v="1"/>
    <n v="2204.65"/>
    <n v="220.46500000000003"/>
    <n v="1984.1849999999999"/>
    <n v="4"/>
    <x v="422"/>
    <n v="0"/>
  </r>
  <r>
    <d v="2024-04-19T00:00:00"/>
    <x v="4"/>
    <x v="5"/>
    <x v="12"/>
    <n v="278.45"/>
    <s v="Store D"/>
    <x v="0"/>
    <n v="0"/>
    <x v="0"/>
    <n v="2784.5"/>
    <x v="2"/>
    <s v="SAVE10"/>
    <n v="0"/>
    <s v="REG100587"/>
    <x v="564"/>
    <n v="11.13"/>
    <x v="53"/>
    <d v="2024-04-25T00:00:00"/>
    <x v="4"/>
    <n v="2784.5"/>
    <n v="0"/>
    <n v="2784.5"/>
    <n v="6"/>
    <x v="0"/>
    <n v="0"/>
  </r>
  <r>
    <d v="2023-12-08T00:00:00"/>
    <x v="2"/>
    <x v="4"/>
    <x v="0"/>
    <n v="382.19"/>
    <s v="Store B"/>
    <x v="0"/>
    <n v="0.05"/>
    <x v="2"/>
    <n v="5083.1269999999986"/>
    <x v="4"/>
    <s v="FREESHIP"/>
    <n v="1"/>
    <s v="REG100588"/>
    <x v="565"/>
    <n v="49.12"/>
    <x v="437"/>
    <d v="2023-12-11T00:00:00"/>
    <x v="2"/>
    <n v="5350.66"/>
    <n v="267.53300000000002"/>
    <n v="5083.1269999999995"/>
    <n v="3"/>
    <x v="423"/>
    <n v="0"/>
  </r>
  <r>
    <d v="2023-03-15T00:00:00"/>
    <x v="2"/>
    <x v="4"/>
    <x v="0"/>
    <n v="232.49"/>
    <s v="Store D"/>
    <x v="0"/>
    <n v="0.05"/>
    <x v="4"/>
    <n v="3092.1170000000002"/>
    <x v="0"/>
    <s v="SAVE10"/>
    <n v="1"/>
    <s v="REG100589"/>
    <x v="566"/>
    <n v="5.32"/>
    <x v="438"/>
    <d v="2023-03-19T00:00:00"/>
    <x v="2"/>
    <n v="3254.86"/>
    <n v="162.74300000000002"/>
    <n v="3092.1170000000002"/>
    <n v="4"/>
    <x v="424"/>
    <n v="0"/>
  </r>
  <r>
    <d v="2025-02-07T00:00:00"/>
    <x v="1"/>
    <x v="0"/>
    <x v="9"/>
    <n v="15.01"/>
    <s v="Store D"/>
    <x v="0"/>
    <n v="0.15"/>
    <x v="4"/>
    <n v="216.89449999999999"/>
    <x v="3"/>
    <s v="SAVE10"/>
    <n v="1"/>
    <s v="REG100590"/>
    <x v="567"/>
    <n v="22"/>
    <x v="439"/>
    <d v="2025-02-13T00:00:00"/>
    <x v="1"/>
    <n v="255.17"/>
    <n v="38.275499999999994"/>
    <n v="216.89449999999999"/>
    <n v="6"/>
    <x v="425"/>
    <n v="0"/>
  </r>
  <r>
    <d v="2025-06-27T00:00:00"/>
    <x v="2"/>
    <x v="4"/>
    <x v="10"/>
    <n v="29.41"/>
    <s v="Store D"/>
    <x v="1"/>
    <n v="0.05"/>
    <x v="3"/>
    <n v="307.33449999999999"/>
    <x v="2"/>
    <s v="SAVE10"/>
    <n v="0"/>
    <s v="REG100591"/>
    <x v="568"/>
    <n v="6.16"/>
    <x v="440"/>
    <d v="2025-07-02T00:00:00"/>
    <x v="2"/>
    <n v="323.51"/>
    <n v="16.1755"/>
    <n v="307.33449999999999"/>
    <n v="5"/>
    <x v="426"/>
    <n v="0"/>
  </r>
  <r>
    <d v="2024-12-17T00:00:00"/>
    <x v="3"/>
    <x v="5"/>
    <x v="1"/>
    <n v="486.19"/>
    <s v="Store B"/>
    <x v="1"/>
    <n v="0.05"/>
    <x v="2"/>
    <n v="461.88049999999998"/>
    <x v="0"/>
    <s v="SAVE10"/>
    <n v="0"/>
    <s v="REG100592"/>
    <x v="569"/>
    <n v="41.73"/>
    <x v="441"/>
    <d v="2024-12-20T00:00:00"/>
    <x v="3"/>
    <n v="486.19"/>
    <n v="24.3095"/>
    <n v="461.88049999999998"/>
    <n v="3"/>
    <x v="427"/>
    <n v="0"/>
  </r>
  <r>
    <d v="2024-05-03T00:00:00"/>
    <x v="1"/>
    <x v="0"/>
    <x v="16"/>
    <n v="266.67"/>
    <s v="Store B"/>
    <x v="0"/>
    <n v="0.05"/>
    <x v="0"/>
    <n v="1520.019"/>
    <x v="3"/>
    <m/>
    <n v="0"/>
    <s v="REG100593"/>
    <x v="570"/>
    <n v="48.49"/>
    <x v="80"/>
    <d v="2024-05-11T00:00:00"/>
    <x v="1"/>
    <n v="1600.02"/>
    <n v="80.001000000000005"/>
    <n v="1520.019"/>
    <n v="8"/>
    <x v="428"/>
    <n v="0"/>
  </r>
  <r>
    <d v="2023-12-26T00:00:00"/>
    <x v="1"/>
    <x v="6"/>
    <x v="5"/>
    <n v="300.8"/>
    <s v="Store B"/>
    <x v="0"/>
    <n v="0.1"/>
    <x v="3"/>
    <n v="812.16000000000008"/>
    <x v="4"/>
    <m/>
    <n v="1"/>
    <s v="REG100594"/>
    <x v="478"/>
    <n v="15.98"/>
    <x v="442"/>
    <d v="2024-01-01T00:00:00"/>
    <x v="1"/>
    <n v="902.40000000000009"/>
    <n v="90.240000000000009"/>
    <n v="812.16000000000008"/>
    <n v="6"/>
    <x v="429"/>
    <n v="0"/>
  </r>
  <r>
    <d v="2024-05-13T00:00:00"/>
    <x v="3"/>
    <x v="6"/>
    <x v="10"/>
    <n v="79.63"/>
    <s v="Store B"/>
    <x v="0"/>
    <n v="0.05"/>
    <x v="2"/>
    <n v="832.13349999999991"/>
    <x v="0"/>
    <m/>
    <n v="0"/>
    <s v="REG100595"/>
    <x v="571"/>
    <n v="43.84"/>
    <x v="443"/>
    <d v="2024-05-19T00:00:00"/>
    <x v="3"/>
    <n v="875.93"/>
    <n v="43.796500000000002"/>
    <n v="832.13349999999991"/>
    <n v="6"/>
    <x v="430"/>
    <n v="0"/>
  </r>
  <r>
    <d v="2023-10-07T00:00:00"/>
    <x v="1"/>
    <x v="0"/>
    <x v="16"/>
    <n v="505.7"/>
    <s v="Store C"/>
    <x v="1"/>
    <n v="0"/>
    <x v="1"/>
    <n v="3034.2"/>
    <x v="4"/>
    <m/>
    <n v="0"/>
    <s v="REG100596"/>
    <x v="572"/>
    <n v="40.380000000000003"/>
    <x v="444"/>
    <d v="2023-10-16T00:00:00"/>
    <x v="1"/>
    <n v="3034.2"/>
    <n v="0"/>
    <n v="3034.2"/>
    <n v="9"/>
    <x v="0"/>
    <n v="0"/>
  </r>
  <r>
    <d v="2023-07-11T00:00:00"/>
    <x v="4"/>
    <x v="6"/>
    <x v="6"/>
    <n v="569.62"/>
    <s v="Store C"/>
    <x v="0"/>
    <n v="0"/>
    <x v="4"/>
    <n v="2848.1"/>
    <x v="3"/>
    <s v="FREESHIP"/>
    <n v="0"/>
    <s v="REG100597"/>
    <x v="573"/>
    <n v="48.8"/>
    <x v="445"/>
    <d v="2023-07-13T00:00:00"/>
    <x v="4"/>
    <n v="2848.1"/>
    <n v="0"/>
    <n v="2848.1"/>
    <n v="2"/>
    <x v="0"/>
    <n v="0"/>
  </r>
  <r>
    <d v="2025-01-31T00:00:00"/>
    <x v="1"/>
    <x v="5"/>
    <x v="8"/>
    <n v="90.85"/>
    <s v="Store C"/>
    <x v="1"/>
    <n v="0.05"/>
    <x v="1"/>
    <n v="1639.8425"/>
    <x v="2"/>
    <s v="SAVE10"/>
    <n v="0"/>
    <s v="REG100598"/>
    <x v="574"/>
    <n v="22.28"/>
    <x v="94"/>
    <d v="2025-02-06T00:00:00"/>
    <x v="1"/>
    <n v="1726.1499999999999"/>
    <n v="86.307500000000005"/>
    <n v="1639.8424999999997"/>
    <n v="6"/>
    <x v="431"/>
    <n v="0"/>
  </r>
  <r>
    <d v="2023-02-04T00:00:00"/>
    <x v="1"/>
    <x v="3"/>
    <x v="3"/>
    <n v="296.91000000000003"/>
    <s v="Store A"/>
    <x v="0"/>
    <n v="0.05"/>
    <x v="3"/>
    <n v="564.12900000000002"/>
    <x v="3"/>
    <s v="WINTER15"/>
    <n v="0"/>
    <s v="REG100599"/>
    <x v="575"/>
    <n v="44.35"/>
    <x v="446"/>
    <d v="2023-02-07T00:00:00"/>
    <x v="1"/>
    <n v="593.82000000000005"/>
    <n v="29.691000000000003"/>
    <n v="564.12900000000002"/>
    <n v="3"/>
    <x v="432"/>
    <n v="0"/>
  </r>
  <r>
    <d v="2023-09-02T00:00:00"/>
    <x v="1"/>
    <x v="6"/>
    <x v="3"/>
    <n v="6.19"/>
    <s v="Store B"/>
    <x v="1"/>
    <n v="0.1"/>
    <x v="2"/>
    <n v="11.141999999999999"/>
    <x v="2"/>
    <s v="FREESHIP"/>
    <n v="1"/>
    <s v="REG100600"/>
    <x v="576"/>
    <n v="47.24"/>
    <x v="447"/>
    <d v="2023-09-12T00:00:00"/>
    <x v="1"/>
    <n v="12.38"/>
    <n v="1.2380000000000002"/>
    <n v="11.142000000000001"/>
    <n v="10"/>
    <x v="433"/>
    <n v="0"/>
  </r>
  <r>
    <d v="2024-12-13T00:00:00"/>
    <x v="3"/>
    <x v="4"/>
    <x v="2"/>
    <n v="207.35"/>
    <s v="Store D"/>
    <x v="0"/>
    <n v="0.15"/>
    <x v="1"/>
    <n v="3172.454999999999"/>
    <x v="3"/>
    <s v="FREESHIP"/>
    <n v="0"/>
    <s v="REG100601"/>
    <x v="577"/>
    <n v="11.17"/>
    <x v="167"/>
    <d v="2024-12-15T00:00:00"/>
    <x v="3"/>
    <n v="3732.2999999999997"/>
    <n v="559.84499999999991"/>
    <n v="3172.4549999999999"/>
    <n v="2"/>
    <x v="434"/>
    <n v="0"/>
  </r>
  <r>
    <d v="2023-10-13T00:00:00"/>
    <x v="3"/>
    <x v="5"/>
    <x v="6"/>
    <n v="75.27"/>
    <s v="Store A"/>
    <x v="0"/>
    <n v="0"/>
    <x v="3"/>
    <n v="376.35"/>
    <x v="4"/>
    <m/>
    <n v="0"/>
    <s v="REG100602"/>
    <x v="578"/>
    <n v="31.61"/>
    <x v="448"/>
    <d v="2023-10-22T00:00:00"/>
    <x v="3"/>
    <n v="376.34999999999997"/>
    <n v="0"/>
    <n v="376.34999999999997"/>
    <n v="9"/>
    <x v="0"/>
    <n v="0"/>
  </r>
  <r>
    <d v="2024-10-03T00:00:00"/>
    <x v="1"/>
    <x v="4"/>
    <x v="5"/>
    <n v="136.15"/>
    <s v="Store A"/>
    <x v="1"/>
    <n v="0.1"/>
    <x v="4"/>
    <n v="367.60500000000008"/>
    <x v="1"/>
    <s v="SAVE10"/>
    <n v="0"/>
    <s v="REG100603"/>
    <x v="579"/>
    <n v="48.38"/>
    <x v="449"/>
    <d v="2024-10-07T00:00:00"/>
    <x v="1"/>
    <n v="408.45000000000005"/>
    <n v="40.845000000000006"/>
    <n v="367.60500000000002"/>
    <n v="4"/>
    <x v="435"/>
    <n v="0"/>
  </r>
  <r>
    <d v="2024-04-28T00:00:00"/>
    <x v="3"/>
    <x v="2"/>
    <x v="6"/>
    <n v="544.66"/>
    <s v="Store B"/>
    <x v="1"/>
    <n v="0.1"/>
    <x v="4"/>
    <n v="2450.9699999999998"/>
    <x v="0"/>
    <s v="SAVE10"/>
    <n v="0"/>
    <s v="REG100604"/>
    <x v="580"/>
    <n v="8.39"/>
    <x v="450"/>
    <d v="2024-05-04T00:00:00"/>
    <x v="3"/>
    <n v="2723.2999999999997"/>
    <n v="272.33"/>
    <n v="2450.9699999999998"/>
    <n v="6"/>
    <x v="436"/>
    <n v="0"/>
  </r>
  <r>
    <d v="2024-02-07T00:00:00"/>
    <x v="3"/>
    <x v="2"/>
    <x v="19"/>
    <n v="561.9"/>
    <s v="Store A"/>
    <x v="1"/>
    <n v="0.15"/>
    <x v="5"/>
    <n v="3820.92"/>
    <x v="0"/>
    <s v="FREESHIP"/>
    <n v="1"/>
    <s v="REG100605"/>
    <x v="581"/>
    <n v="15.97"/>
    <x v="451"/>
    <d v="2024-02-14T00:00:00"/>
    <x v="3"/>
    <n v="4495.2"/>
    <n v="674.28"/>
    <n v="3820.92"/>
    <n v="7"/>
    <x v="437"/>
    <n v="0"/>
  </r>
  <r>
    <d v="2023-02-08T00:00:00"/>
    <x v="1"/>
    <x v="3"/>
    <x v="11"/>
    <n v="313.47000000000003"/>
    <s v="Store C"/>
    <x v="1"/>
    <n v="0.15"/>
    <x v="1"/>
    <n v="5328.9900000000007"/>
    <x v="0"/>
    <s v="FREESHIP"/>
    <n v="0"/>
    <s v="REG100606"/>
    <x v="582"/>
    <n v="18.170000000000002"/>
    <x v="162"/>
    <d v="2023-02-11T00:00:00"/>
    <x v="1"/>
    <n v="6269.4000000000005"/>
    <n v="940.41000000000008"/>
    <n v="5328.9900000000007"/>
    <n v="3"/>
    <x v="438"/>
    <n v="0"/>
  </r>
  <r>
    <d v="2023-06-17T00:00:00"/>
    <x v="1"/>
    <x v="1"/>
    <x v="1"/>
    <n v="418.45"/>
    <s v="Store C"/>
    <x v="1"/>
    <n v="0.15"/>
    <x v="4"/>
    <n v="355.6825"/>
    <x v="4"/>
    <s v="WINTER15"/>
    <n v="0"/>
    <s v="REG100607"/>
    <x v="583"/>
    <n v="35.58"/>
    <x v="357"/>
    <d v="2023-06-19T00:00:00"/>
    <x v="1"/>
    <n v="418.45"/>
    <n v="62.767499999999998"/>
    <n v="355.6825"/>
    <n v="2"/>
    <x v="439"/>
    <n v="0"/>
  </r>
  <r>
    <d v="2024-07-29T00:00:00"/>
    <x v="4"/>
    <x v="4"/>
    <x v="19"/>
    <n v="420.75"/>
    <s v="Store B"/>
    <x v="0"/>
    <n v="0.1"/>
    <x v="5"/>
    <n v="3029.4"/>
    <x v="0"/>
    <s v="SAVE10"/>
    <n v="1"/>
    <s v="REG100608"/>
    <x v="584"/>
    <n v="44.61"/>
    <x v="452"/>
    <d v="2024-08-01T00:00:00"/>
    <x v="4"/>
    <n v="3366"/>
    <n v="336.6"/>
    <n v="3029.4"/>
    <n v="3"/>
    <x v="440"/>
    <n v="0"/>
  </r>
  <r>
    <d v="2024-01-29T00:00:00"/>
    <x v="4"/>
    <x v="6"/>
    <x v="18"/>
    <n v="514.36"/>
    <s v="Store D"/>
    <x v="0"/>
    <n v="0"/>
    <x v="1"/>
    <n v="8229.76"/>
    <x v="0"/>
    <s v="SAVE10"/>
    <n v="0"/>
    <s v="REG100609"/>
    <x v="585"/>
    <n v="40.75"/>
    <x v="282"/>
    <d v="2024-02-01T00:00:00"/>
    <x v="4"/>
    <n v="8229.76"/>
    <n v="0"/>
    <n v="8229.76"/>
    <n v="3"/>
    <x v="0"/>
    <n v="0"/>
  </r>
  <r>
    <d v="2024-01-18T00:00:00"/>
    <x v="0"/>
    <x v="1"/>
    <x v="3"/>
    <n v="297.2"/>
    <s v="Store B"/>
    <x v="1"/>
    <n v="0.1"/>
    <x v="2"/>
    <n v="534.96"/>
    <x v="1"/>
    <s v="FREESHIP"/>
    <n v="0"/>
    <s v="REG100610"/>
    <x v="586"/>
    <n v="8.7100000000000009"/>
    <x v="453"/>
    <d v="2024-01-23T00:00:00"/>
    <x v="0"/>
    <n v="594.4"/>
    <n v="59.44"/>
    <n v="534.96"/>
    <n v="5"/>
    <x v="441"/>
    <n v="0"/>
  </r>
  <r>
    <d v="2024-08-12T00:00:00"/>
    <x v="2"/>
    <x v="3"/>
    <x v="12"/>
    <n v="278"/>
    <s v="Store C"/>
    <x v="1"/>
    <n v="0"/>
    <x v="5"/>
    <n v="2780"/>
    <x v="2"/>
    <m/>
    <n v="0"/>
    <s v="REG100611"/>
    <x v="587"/>
    <n v="24.25"/>
    <x v="305"/>
    <d v="2024-08-22T00:00:00"/>
    <x v="2"/>
    <n v="2780"/>
    <n v="0"/>
    <n v="2780"/>
    <n v="10"/>
    <x v="0"/>
    <n v="0"/>
  </r>
  <r>
    <d v="2025-04-16T00:00:00"/>
    <x v="4"/>
    <x v="4"/>
    <x v="19"/>
    <n v="583.16999999999996"/>
    <s v="Store D"/>
    <x v="0"/>
    <n v="0.1"/>
    <x v="2"/>
    <n v="4198.8239999999996"/>
    <x v="2"/>
    <s v="WINTER15"/>
    <n v="0"/>
    <s v="REG100612"/>
    <x v="588"/>
    <n v="49.18"/>
    <x v="454"/>
    <d v="2025-04-20T00:00:00"/>
    <x v="4"/>
    <n v="4665.3599999999997"/>
    <n v="466.536"/>
    <n v="4198.8239999999996"/>
    <n v="4"/>
    <x v="442"/>
    <n v="0"/>
  </r>
  <r>
    <d v="2023-02-26T00:00:00"/>
    <x v="3"/>
    <x v="2"/>
    <x v="18"/>
    <n v="75.62"/>
    <s v="Store D"/>
    <x v="1"/>
    <n v="0.1"/>
    <x v="4"/>
    <n v="1088.9280000000001"/>
    <x v="4"/>
    <s v="WINTER15"/>
    <n v="0"/>
    <s v="REG100613"/>
    <x v="589"/>
    <n v="27.39"/>
    <x v="16"/>
    <d v="2023-03-02T00:00:00"/>
    <x v="3"/>
    <n v="1209.92"/>
    <n v="120.99200000000002"/>
    <n v="1088.9280000000001"/>
    <n v="4"/>
    <x v="443"/>
    <n v="0"/>
  </r>
  <r>
    <d v="2023-01-07T00:00:00"/>
    <x v="0"/>
    <x v="2"/>
    <x v="14"/>
    <n v="561.62"/>
    <s v="Store C"/>
    <x v="0"/>
    <n v="0.05"/>
    <x v="2"/>
    <n v="6936.0069999999996"/>
    <x v="1"/>
    <s v="FREESHIP"/>
    <n v="0"/>
    <s v="REG100614"/>
    <x v="590"/>
    <n v="12.91"/>
    <x v="455"/>
    <d v="2023-01-11T00:00:00"/>
    <x v="0"/>
    <n v="7301.06"/>
    <n v="365.05300000000005"/>
    <n v="6936.0070000000005"/>
    <n v="4"/>
    <x v="444"/>
    <n v="0"/>
  </r>
  <r>
    <d v="2023-10-24T00:00:00"/>
    <x v="1"/>
    <x v="2"/>
    <x v="6"/>
    <n v="359.61"/>
    <s v="Store A"/>
    <x v="1"/>
    <n v="0"/>
    <x v="5"/>
    <n v="1798.05"/>
    <x v="0"/>
    <s v="FREESHIP"/>
    <n v="0"/>
    <s v="REG100615"/>
    <x v="591"/>
    <n v="41.31"/>
    <x v="456"/>
    <d v="2023-11-03T00:00:00"/>
    <x v="1"/>
    <n v="1798.0500000000002"/>
    <n v="0"/>
    <n v="1798.0500000000002"/>
    <n v="10"/>
    <x v="0"/>
    <n v="0"/>
  </r>
  <r>
    <d v="2024-01-02T00:00:00"/>
    <x v="2"/>
    <x v="5"/>
    <x v="7"/>
    <n v="115.48"/>
    <s v="Store A"/>
    <x v="1"/>
    <n v="0.15"/>
    <x v="2"/>
    <n v="1472.37"/>
    <x v="2"/>
    <m/>
    <n v="0"/>
    <s v="REG100616"/>
    <x v="592"/>
    <n v="6.04"/>
    <x v="78"/>
    <d v="2024-01-12T00:00:00"/>
    <x v="2"/>
    <n v="1732.2"/>
    <n v="259.83"/>
    <n v="1472.3700000000001"/>
    <n v="10"/>
    <x v="445"/>
    <n v="0"/>
  </r>
  <r>
    <d v="2024-09-17T00:00:00"/>
    <x v="1"/>
    <x v="0"/>
    <x v="13"/>
    <n v="596.26"/>
    <s v="Store D"/>
    <x v="0"/>
    <n v="0.15"/>
    <x v="0"/>
    <n v="6081.8519999999999"/>
    <x v="1"/>
    <s v="WINTER15"/>
    <n v="0"/>
    <s v="REG100617"/>
    <x v="593"/>
    <n v="28.27"/>
    <x v="457"/>
    <d v="2024-09-25T00:00:00"/>
    <x v="1"/>
    <n v="7155.12"/>
    <n v="1073.268"/>
    <n v="6081.8519999999999"/>
    <n v="8"/>
    <x v="446"/>
    <n v="0"/>
  </r>
  <r>
    <d v="2024-05-05T00:00:00"/>
    <x v="3"/>
    <x v="5"/>
    <x v="8"/>
    <n v="401.68"/>
    <s v="Store C"/>
    <x v="0"/>
    <n v="0.05"/>
    <x v="1"/>
    <n v="7250.3239999999996"/>
    <x v="3"/>
    <s v="WINTER15"/>
    <n v="1"/>
    <s v="REG100618"/>
    <x v="594"/>
    <n v="37.770000000000003"/>
    <x v="458"/>
    <d v="2024-05-11T00:00:00"/>
    <x v="3"/>
    <n v="7631.92"/>
    <n v="381.596"/>
    <n v="7250.3240000000005"/>
    <n v="6"/>
    <x v="447"/>
    <n v="0"/>
  </r>
  <r>
    <d v="2025-06-27T00:00:00"/>
    <x v="4"/>
    <x v="2"/>
    <x v="14"/>
    <n v="112.88"/>
    <s v="Store D"/>
    <x v="1"/>
    <n v="0"/>
    <x v="2"/>
    <n v="1467.44"/>
    <x v="3"/>
    <m/>
    <n v="0"/>
    <s v="REG100619"/>
    <x v="595"/>
    <n v="12.39"/>
    <x v="440"/>
    <d v="2025-06-29T00:00:00"/>
    <x v="4"/>
    <n v="1467.44"/>
    <n v="0"/>
    <n v="1467.44"/>
    <n v="2"/>
    <x v="0"/>
    <n v="0"/>
  </r>
  <r>
    <d v="2024-05-14T00:00:00"/>
    <x v="4"/>
    <x v="1"/>
    <x v="16"/>
    <n v="370.08"/>
    <s v="Store D"/>
    <x v="1"/>
    <n v="0.15"/>
    <x v="1"/>
    <n v="1887.4079999999999"/>
    <x v="0"/>
    <s v="SAVE10"/>
    <n v="0"/>
    <s v="REG100620"/>
    <x v="596"/>
    <n v="7.39"/>
    <x v="125"/>
    <d v="2024-05-22T00:00:00"/>
    <x v="4"/>
    <n v="2220.48"/>
    <n v="333.072"/>
    <n v="1887.4079999999999"/>
    <n v="8"/>
    <x v="448"/>
    <n v="0"/>
  </r>
  <r>
    <d v="2024-02-29T00:00:00"/>
    <x v="2"/>
    <x v="3"/>
    <x v="7"/>
    <n v="119.86"/>
    <s v="Store A"/>
    <x v="0"/>
    <n v="0.15"/>
    <x v="5"/>
    <n v="1528.2149999999999"/>
    <x v="3"/>
    <m/>
    <n v="1"/>
    <s v="REG100621"/>
    <x v="597"/>
    <n v="30.78"/>
    <x v="459"/>
    <d v="2024-03-05T00:00:00"/>
    <x v="2"/>
    <n v="1797.9"/>
    <n v="269.685"/>
    <n v="1528.2150000000001"/>
    <n v="5"/>
    <x v="449"/>
    <n v="0"/>
  </r>
  <r>
    <d v="2025-05-19T00:00:00"/>
    <x v="0"/>
    <x v="1"/>
    <x v="6"/>
    <n v="271.44"/>
    <s v="Store A"/>
    <x v="0"/>
    <n v="0.15"/>
    <x v="4"/>
    <n v="1153.6199999999999"/>
    <x v="3"/>
    <s v="FREESHIP"/>
    <n v="0"/>
    <s v="REG100622"/>
    <x v="598"/>
    <n v="5.98"/>
    <x v="460"/>
    <d v="2025-05-27T00:00:00"/>
    <x v="0"/>
    <n v="1357.2"/>
    <n v="203.58"/>
    <n v="1153.6200000000001"/>
    <n v="8"/>
    <x v="450"/>
    <n v="0"/>
  </r>
  <r>
    <d v="2024-12-02T00:00:00"/>
    <x v="0"/>
    <x v="2"/>
    <x v="17"/>
    <n v="363.39"/>
    <s v="Store B"/>
    <x v="0"/>
    <n v="0.05"/>
    <x v="4"/>
    <n v="3106.9845"/>
    <x v="1"/>
    <m/>
    <n v="0"/>
    <s v="REG100623"/>
    <x v="101"/>
    <n v="41.64"/>
    <x v="461"/>
    <d v="2024-12-04T00:00:00"/>
    <x v="0"/>
    <n v="3270.5099999999998"/>
    <n v="163.52549999999999"/>
    <n v="3106.9844999999996"/>
    <n v="2"/>
    <x v="451"/>
    <n v="0"/>
  </r>
  <r>
    <d v="2024-07-30T00:00:00"/>
    <x v="4"/>
    <x v="6"/>
    <x v="13"/>
    <n v="533.77"/>
    <s v="Store D"/>
    <x v="0"/>
    <n v="0.15"/>
    <x v="1"/>
    <n v="5444.4539999999997"/>
    <x v="4"/>
    <s v="SAVE10"/>
    <n v="0"/>
    <s v="REG100624"/>
    <x v="599"/>
    <n v="48.71"/>
    <x v="117"/>
    <d v="2024-08-04T00:00:00"/>
    <x v="4"/>
    <n v="6405.24"/>
    <n v="960.78599999999994"/>
    <n v="5444.4539999999997"/>
    <n v="5"/>
    <x v="452"/>
    <n v="0"/>
  </r>
  <r>
    <d v="2023-06-25T00:00:00"/>
    <x v="1"/>
    <x v="2"/>
    <x v="13"/>
    <n v="192.03"/>
    <s v="Store B"/>
    <x v="0"/>
    <n v="0.1"/>
    <x v="3"/>
    <n v="2073.924"/>
    <x v="2"/>
    <m/>
    <n v="0"/>
    <s v="REG100625"/>
    <x v="600"/>
    <n v="41.08"/>
    <x v="416"/>
    <d v="2023-07-03T00:00:00"/>
    <x v="1"/>
    <n v="2304.36"/>
    <n v="230.43600000000004"/>
    <n v="2073.924"/>
    <n v="8"/>
    <x v="453"/>
    <n v="0"/>
  </r>
  <r>
    <d v="2024-07-10T00:00:00"/>
    <x v="1"/>
    <x v="3"/>
    <x v="11"/>
    <n v="504.22"/>
    <s v="Store D"/>
    <x v="0"/>
    <n v="0"/>
    <x v="2"/>
    <n v="10084.4"/>
    <x v="0"/>
    <s v="WINTER15"/>
    <n v="0"/>
    <s v="REG100626"/>
    <x v="601"/>
    <n v="14.61"/>
    <x v="462"/>
    <d v="2024-07-19T00:00:00"/>
    <x v="1"/>
    <n v="10084.400000000001"/>
    <n v="0"/>
    <n v="10084.400000000001"/>
    <n v="9"/>
    <x v="0"/>
    <n v="0"/>
  </r>
  <r>
    <d v="2023-01-06T00:00:00"/>
    <x v="0"/>
    <x v="0"/>
    <x v="4"/>
    <n v="193.66"/>
    <s v="Store A"/>
    <x v="0"/>
    <n v="0.1"/>
    <x v="4"/>
    <n v="1220.058"/>
    <x v="2"/>
    <s v="FREESHIP"/>
    <n v="0"/>
    <s v="REG100627"/>
    <x v="602"/>
    <n v="39.01"/>
    <x v="463"/>
    <d v="2023-01-15T00:00:00"/>
    <x v="0"/>
    <n v="1355.62"/>
    <n v="135.56199999999998"/>
    <n v="1220.058"/>
    <n v="9"/>
    <x v="454"/>
    <n v="0"/>
  </r>
  <r>
    <d v="2024-02-24T00:00:00"/>
    <x v="1"/>
    <x v="3"/>
    <x v="5"/>
    <n v="270.83"/>
    <s v="Store B"/>
    <x v="0"/>
    <n v="0.1"/>
    <x v="3"/>
    <n v="731.24099999999999"/>
    <x v="0"/>
    <s v="SAVE10"/>
    <n v="1"/>
    <s v="REG100628"/>
    <x v="603"/>
    <n v="17.2"/>
    <x v="62"/>
    <d v="2024-02-29T00:00:00"/>
    <x v="1"/>
    <n v="812.49"/>
    <n v="81.249000000000009"/>
    <n v="731.24099999999999"/>
    <n v="5"/>
    <x v="455"/>
    <n v="0"/>
  </r>
  <r>
    <d v="2023-12-11T00:00:00"/>
    <x v="3"/>
    <x v="5"/>
    <x v="2"/>
    <n v="62.08"/>
    <s v="Store B"/>
    <x v="1"/>
    <n v="0"/>
    <x v="4"/>
    <n v="1117.44"/>
    <x v="2"/>
    <s v="SAVE10"/>
    <n v="1"/>
    <s v="REG100629"/>
    <x v="604"/>
    <n v="8.67"/>
    <x v="464"/>
    <d v="2023-12-20T00:00:00"/>
    <x v="3"/>
    <n v="1117.44"/>
    <n v="0"/>
    <n v="1117.44"/>
    <n v="9"/>
    <x v="0"/>
    <n v="0"/>
  </r>
  <r>
    <d v="2025-02-19T00:00:00"/>
    <x v="1"/>
    <x v="6"/>
    <x v="10"/>
    <n v="505.96"/>
    <s v="Store C"/>
    <x v="0"/>
    <n v="0.15"/>
    <x v="0"/>
    <n v="4730.7259999999997"/>
    <x v="3"/>
    <s v="FREESHIP"/>
    <n v="1"/>
    <s v="REG100630"/>
    <x v="605"/>
    <n v="22.84"/>
    <x v="465"/>
    <d v="2025-02-23T00:00:00"/>
    <x v="1"/>
    <n v="5565.5599999999995"/>
    <n v="834.83399999999995"/>
    <n v="4730.7259999999997"/>
    <n v="4"/>
    <x v="456"/>
    <n v="0"/>
  </r>
  <r>
    <d v="2025-03-18T00:00:00"/>
    <x v="4"/>
    <x v="5"/>
    <x v="15"/>
    <n v="62.46"/>
    <s v="Store D"/>
    <x v="0"/>
    <n v="0.15"/>
    <x v="1"/>
    <n v="212.364"/>
    <x v="3"/>
    <s v="WINTER15"/>
    <n v="0"/>
    <s v="REG100631"/>
    <x v="606"/>
    <n v="31.91"/>
    <x v="213"/>
    <d v="2025-03-26T00:00:00"/>
    <x v="4"/>
    <n v="249.84"/>
    <n v="37.475999999999999"/>
    <n v="212.364"/>
    <n v="8"/>
    <x v="457"/>
    <n v="0"/>
  </r>
  <r>
    <d v="2023-09-22T00:00:00"/>
    <x v="1"/>
    <x v="1"/>
    <x v="4"/>
    <n v="480.08"/>
    <s v="Store B"/>
    <x v="0"/>
    <n v="0.1"/>
    <x v="4"/>
    <n v="3024.5039999999999"/>
    <x v="0"/>
    <m/>
    <n v="1"/>
    <s v="REG100632"/>
    <x v="607"/>
    <n v="44.37"/>
    <x v="466"/>
    <d v="2023-09-27T00:00:00"/>
    <x v="1"/>
    <n v="3360.56"/>
    <n v="336.05600000000004"/>
    <n v="3024.5039999999999"/>
    <n v="5"/>
    <x v="458"/>
    <n v="0"/>
  </r>
  <r>
    <d v="2023-12-23T00:00:00"/>
    <x v="4"/>
    <x v="5"/>
    <x v="2"/>
    <n v="60.66"/>
    <s v="Store A"/>
    <x v="1"/>
    <n v="0"/>
    <x v="5"/>
    <n v="1091.8800000000001"/>
    <x v="0"/>
    <s v="FREESHIP"/>
    <n v="1"/>
    <s v="REG100633"/>
    <x v="608"/>
    <n v="10.08"/>
    <x v="467"/>
    <d v="2023-12-28T00:00:00"/>
    <x v="4"/>
    <n v="1091.8799999999999"/>
    <n v="0"/>
    <n v="1091.8799999999999"/>
    <n v="5"/>
    <x v="0"/>
    <n v="0"/>
  </r>
  <r>
    <d v="2025-05-04T00:00:00"/>
    <x v="2"/>
    <x v="2"/>
    <x v="16"/>
    <n v="249.09"/>
    <s v="Store B"/>
    <x v="1"/>
    <n v="0.05"/>
    <x v="2"/>
    <n v="1419.8130000000001"/>
    <x v="4"/>
    <m/>
    <n v="0"/>
    <s v="REG100634"/>
    <x v="609"/>
    <n v="20.38"/>
    <x v="291"/>
    <d v="2025-05-10T00:00:00"/>
    <x v="2"/>
    <n v="1494.54"/>
    <n v="74.727000000000004"/>
    <n v="1419.8129999999999"/>
    <n v="6"/>
    <x v="459"/>
    <n v="0"/>
  </r>
  <r>
    <d v="2025-01-11T00:00:00"/>
    <x v="0"/>
    <x v="1"/>
    <x v="11"/>
    <n v="400.05"/>
    <s v="Store D"/>
    <x v="0"/>
    <n v="0.1"/>
    <x v="4"/>
    <n v="7200.9000000000005"/>
    <x v="3"/>
    <s v="WINTER15"/>
    <n v="0"/>
    <s v="REG100635"/>
    <x v="610"/>
    <n v="24.41"/>
    <x v="405"/>
    <d v="2025-01-13T00:00:00"/>
    <x v="0"/>
    <n v="8001"/>
    <n v="800.1"/>
    <n v="7200.9"/>
    <n v="2"/>
    <x v="460"/>
    <n v="0"/>
  </r>
  <r>
    <d v="2025-04-21T00:00:00"/>
    <x v="1"/>
    <x v="6"/>
    <x v="1"/>
    <n v="130.87"/>
    <s v="Store B"/>
    <x v="1"/>
    <n v="0.05"/>
    <x v="4"/>
    <n v="124.3265"/>
    <x v="0"/>
    <s v="WINTER15"/>
    <n v="0"/>
    <s v="REG100636"/>
    <x v="611"/>
    <n v="43.21"/>
    <x v="468"/>
    <d v="2025-04-24T00:00:00"/>
    <x v="1"/>
    <n v="130.87"/>
    <n v="6.5435000000000008"/>
    <n v="124.32650000000001"/>
    <n v="3"/>
    <x v="461"/>
    <n v="0"/>
  </r>
  <r>
    <d v="2023-12-13T00:00:00"/>
    <x v="3"/>
    <x v="5"/>
    <x v="10"/>
    <n v="133.08000000000001"/>
    <s v="Store A"/>
    <x v="0"/>
    <n v="0.15"/>
    <x v="2"/>
    <n v="1244.298"/>
    <x v="2"/>
    <s v="WINTER15"/>
    <n v="0"/>
    <s v="REG100637"/>
    <x v="612"/>
    <n v="44.61"/>
    <x v="469"/>
    <d v="2023-12-22T00:00:00"/>
    <x v="3"/>
    <n v="1463.88"/>
    <n v="219.58200000000002"/>
    <n v="1244.298"/>
    <n v="9"/>
    <x v="462"/>
    <n v="0"/>
  </r>
  <r>
    <d v="2024-02-07T00:00:00"/>
    <x v="0"/>
    <x v="3"/>
    <x v="14"/>
    <n v="448.68"/>
    <s v="Store B"/>
    <x v="0"/>
    <n v="0.1"/>
    <x v="4"/>
    <n v="5249.5559999999996"/>
    <x v="2"/>
    <s v="FREESHIP"/>
    <n v="1"/>
    <s v="REG100638"/>
    <x v="613"/>
    <n v="16.82"/>
    <x v="451"/>
    <d v="2024-02-11T00:00:00"/>
    <x v="0"/>
    <n v="5832.84"/>
    <n v="583.28399999999999"/>
    <n v="5249.5560000000005"/>
    <n v="4"/>
    <x v="463"/>
    <n v="0"/>
  </r>
  <r>
    <d v="2024-04-24T00:00:00"/>
    <x v="2"/>
    <x v="5"/>
    <x v="8"/>
    <n v="36.229999999999997"/>
    <s v="Store B"/>
    <x v="0"/>
    <n v="0"/>
    <x v="4"/>
    <n v="688.36999999999989"/>
    <x v="3"/>
    <s v="WINTER15"/>
    <n v="0"/>
    <s v="REG100639"/>
    <x v="614"/>
    <n v="33.94"/>
    <x v="470"/>
    <d v="2024-04-27T00:00:00"/>
    <x v="2"/>
    <n v="688.36999999999989"/>
    <n v="0"/>
    <n v="688.36999999999989"/>
    <n v="3"/>
    <x v="0"/>
    <n v="0"/>
  </r>
  <r>
    <d v="2023-09-11T00:00:00"/>
    <x v="4"/>
    <x v="3"/>
    <x v="0"/>
    <n v="113.77"/>
    <s v="Store C"/>
    <x v="1"/>
    <n v="0"/>
    <x v="0"/>
    <n v="1592.78"/>
    <x v="4"/>
    <s v="FREESHIP"/>
    <n v="0"/>
    <s v="REG100640"/>
    <x v="331"/>
    <n v="25.35"/>
    <x v="471"/>
    <d v="2023-09-16T00:00:00"/>
    <x v="4"/>
    <n v="1592.78"/>
    <n v="0"/>
    <n v="1592.78"/>
    <n v="5"/>
    <x v="0"/>
    <n v="0"/>
  </r>
  <r>
    <d v="2025-06-09T00:00:00"/>
    <x v="3"/>
    <x v="6"/>
    <x v="3"/>
    <n v="89.6"/>
    <s v="Store A"/>
    <x v="1"/>
    <n v="0"/>
    <x v="4"/>
    <n v="179.2"/>
    <x v="1"/>
    <s v="FREESHIP"/>
    <n v="0"/>
    <s v="REG100641"/>
    <x v="615"/>
    <n v="23.69"/>
    <x v="102"/>
    <d v="2025-06-12T00:00:00"/>
    <x v="3"/>
    <n v="179.2"/>
    <n v="0"/>
    <n v="179.2"/>
    <n v="3"/>
    <x v="0"/>
    <n v="0"/>
  </r>
  <r>
    <d v="2025-06-06T00:00:00"/>
    <x v="0"/>
    <x v="2"/>
    <x v="5"/>
    <n v="391.92"/>
    <s v="Store A"/>
    <x v="0"/>
    <n v="0.15"/>
    <x v="1"/>
    <n v="999.39599999999996"/>
    <x v="3"/>
    <s v="SAVE10"/>
    <n v="0"/>
    <s v="REG100642"/>
    <x v="616"/>
    <n v="9.86"/>
    <x v="472"/>
    <d v="2025-06-16T00:00:00"/>
    <x v="0"/>
    <n v="1175.76"/>
    <n v="176.364"/>
    <n v="999.39599999999996"/>
    <n v="10"/>
    <x v="464"/>
    <n v="0"/>
  </r>
  <r>
    <d v="2024-12-23T00:00:00"/>
    <x v="1"/>
    <x v="3"/>
    <x v="12"/>
    <n v="418.93"/>
    <s v="Store C"/>
    <x v="0"/>
    <n v="0.1"/>
    <x v="5"/>
    <n v="3770.37"/>
    <x v="2"/>
    <s v="FREESHIP"/>
    <n v="0"/>
    <s v="REG100643"/>
    <x v="617"/>
    <n v="45.63"/>
    <x v="473"/>
    <d v="2024-12-28T00:00:00"/>
    <x v="1"/>
    <n v="4189.3"/>
    <n v="418.93000000000006"/>
    <n v="3770.37"/>
    <n v="5"/>
    <x v="465"/>
    <n v="0"/>
  </r>
  <r>
    <d v="2023-08-27T00:00:00"/>
    <x v="0"/>
    <x v="4"/>
    <x v="13"/>
    <n v="303.08999999999997"/>
    <s v="Store B"/>
    <x v="0"/>
    <n v="0"/>
    <x v="1"/>
    <n v="3637.08"/>
    <x v="1"/>
    <s v="WINTER15"/>
    <n v="1"/>
    <s v="REG100644"/>
    <x v="618"/>
    <n v="5.48"/>
    <x v="474"/>
    <d v="2023-09-03T00:00:00"/>
    <x v="0"/>
    <n v="3637.08"/>
    <n v="0"/>
    <n v="3637.08"/>
    <n v="7"/>
    <x v="0"/>
    <n v="0"/>
  </r>
  <r>
    <d v="2023-01-09T00:00:00"/>
    <x v="0"/>
    <x v="4"/>
    <x v="12"/>
    <n v="209.95"/>
    <s v="Store A"/>
    <x v="0"/>
    <n v="0.1"/>
    <x v="0"/>
    <n v="1889.55"/>
    <x v="4"/>
    <s v="WINTER15"/>
    <n v="0"/>
    <s v="REG100645"/>
    <x v="619"/>
    <n v="10.99"/>
    <x v="7"/>
    <d v="2023-01-13T00:00:00"/>
    <x v="0"/>
    <n v="2099.5"/>
    <n v="209.95000000000002"/>
    <n v="1889.55"/>
    <n v="4"/>
    <x v="466"/>
    <n v="0"/>
  </r>
  <r>
    <d v="2025-04-22T00:00:00"/>
    <x v="0"/>
    <x v="0"/>
    <x v="19"/>
    <n v="283.63"/>
    <s v="Store C"/>
    <x v="0"/>
    <n v="0.1"/>
    <x v="1"/>
    <n v="2042.136"/>
    <x v="4"/>
    <s v="SAVE10"/>
    <n v="0"/>
    <s v="REG100646"/>
    <x v="620"/>
    <n v="49.91"/>
    <x v="475"/>
    <d v="2025-04-25T00:00:00"/>
    <x v="0"/>
    <n v="2269.04"/>
    <n v="226.904"/>
    <n v="2042.136"/>
    <n v="3"/>
    <x v="467"/>
    <n v="0"/>
  </r>
  <r>
    <d v="2023-09-06T00:00:00"/>
    <x v="1"/>
    <x v="1"/>
    <x v="4"/>
    <n v="18.36"/>
    <s v="Store D"/>
    <x v="1"/>
    <n v="0.1"/>
    <x v="1"/>
    <n v="115.66800000000001"/>
    <x v="0"/>
    <m/>
    <n v="0"/>
    <s v="REG100647"/>
    <x v="621"/>
    <n v="48.92"/>
    <x v="476"/>
    <d v="2023-09-11T00:00:00"/>
    <x v="1"/>
    <n v="128.51999999999998"/>
    <n v="12.851999999999999"/>
    <n v="115.66799999999998"/>
    <n v="5"/>
    <x v="468"/>
    <n v="0"/>
  </r>
  <r>
    <d v="2023-01-21T00:00:00"/>
    <x v="0"/>
    <x v="4"/>
    <x v="17"/>
    <n v="475.38"/>
    <s v="Store A"/>
    <x v="0"/>
    <n v="0.1"/>
    <x v="3"/>
    <n v="3850.578"/>
    <x v="3"/>
    <s v="SAVE10"/>
    <n v="0"/>
    <s v="REG100648"/>
    <x v="622"/>
    <n v="39.979999999999997"/>
    <x v="477"/>
    <d v="2023-01-27T00:00:00"/>
    <x v="0"/>
    <n v="4278.42"/>
    <n v="427.84200000000004"/>
    <n v="3850.578"/>
    <n v="6"/>
    <x v="469"/>
    <n v="0"/>
  </r>
  <r>
    <d v="2024-04-26T00:00:00"/>
    <x v="3"/>
    <x v="3"/>
    <x v="13"/>
    <n v="591.91999999999996"/>
    <s v="Store D"/>
    <x v="1"/>
    <n v="0"/>
    <x v="0"/>
    <n v="7103.0399999999991"/>
    <x v="3"/>
    <s v="SAVE10"/>
    <n v="0"/>
    <s v="REG100649"/>
    <x v="623"/>
    <n v="25.2"/>
    <x v="478"/>
    <d v="2024-05-06T00:00:00"/>
    <x v="3"/>
    <n v="7103.0399999999991"/>
    <n v="0"/>
    <n v="7103.0399999999991"/>
    <n v="10"/>
    <x v="0"/>
    <n v="0"/>
  </r>
  <r>
    <d v="2023-06-27T00:00:00"/>
    <x v="2"/>
    <x v="1"/>
    <x v="4"/>
    <n v="93.23"/>
    <s v="Store B"/>
    <x v="1"/>
    <n v="0.05"/>
    <x v="1"/>
    <n v="619.97950000000003"/>
    <x v="2"/>
    <s v="FREESHIP"/>
    <n v="1"/>
    <s v="REG100650"/>
    <x v="624"/>
    <n v="6.47"/>
    <x v="161"/>
    <d v="2023-06-30T00:00:00"/>
    <x v="2"/>
    <n v="652.61"/>
    <n v="32.630500000000005"/>
    <n v="619.97950000000003"/>
    <n v="3"/>
    <x v="470"/>
    <n v="0"/>
  </r>
  <r>
    <d v="2023-01-01T00:00:00"/>
    <x v="0"/>
    <x v="5"/>
    <x v="7"/>
    <n v="298.70999999999998"/>
    <s v="Store C"/>
    <x v="1"/>
    <n v="0"/>
    <x v="5"/>
    <n v="4480.6499999999996"/>
    <x v="3"/>
    <s v="SAVE10"/>
    <n v="0"/>
    <s v="REG100651"/>
    <x v="625"/>
    <n v="11.38"/>
    <x v="209"/>
    <d v="2023-01-08T00:00:00"/>
    <x v="0"/>
    <n v="4480.6499999999996"/>
    <n v="0"/>
    <n v="4480.6499999999996"/>
    <n v="7"/>
    <x v="0"/>
    <n v="0"/>
  </r>
  <r>
    <d v="2023-12-30T00:00:00"/>
    <x v="4"/>
    <x v="5"/>
    <x v="7"/>
    <n v="52.37"/>
    <s v="Store A"/>
    <x v="1"/>
    <n v="0.15"/>
    <x v="4"/>
    <n v="667.71749999999997"/>
    <x v="0"/>
    <s v="SAVE10"/>
    <n v="0"/>
    <s v="REG100652"/>
    <x v="626"/>
    <n v="8.93"/>
    <x v="479"/>
    <d v="2024-01-02T00:00:00"/>
    <x v="4"/>
    <n v="785.55"/>
    <n v="117.83249999999998"/>
    <n v="667.71749999999997"/>
    <n v="3"/>
    <x v="471"/>
    <n v="0"/>
  </r>
  <r>
    <d v="2023-01-22T00:00:00"/>
    <x v="3"/>
    <x v="1"/>
    <x v="16"/>
    <n v="104.19"/>
    <s v="Store C"/>
    <x v="1"/>
    <n v="0.1"/>
    <x v="4"/>
    <n v="562.62599999999998"/>
    <x v="0"/>
    <m/>
    <n v="0"/>
    <s v="REG100653"/>
    <x v="627"/>
    <n v="8.6199999999999992"/>
    <x v="229"/>
    <d v="2023-01-24T00:00:00"/>
    <x v="3"/>
    <n v="625.14"/>
    <n v="62.514000000000003"/>
    <n v="562.62599999999998"/>
    <n v="2"/>
    <x v="472"/>
    <n v="0"/>
  </r>
  <r>
    <d v="2024-07-27T00:00:00"/>
    <x v="1"/>
    <x v="0"/>
    <x v="19"/>
    <n v="493.09"/>
    <s v="Store A"/>
    <x v="1"/>
    <n v="0.05"/>
    <x v="4"/>
    <n v="3747.483999999999"/>
    <x v="2"/>
    <s v="FREESHIP"/>
    <n v="0"/>
    <s v="REG100654"/>
    <x v="628"/>
    <n v="11.49"/>
    <x v="480"/>
    <d v="2024-08-05T00:00:00"/>
    <x v="1"/>
    <n v="3944.72"/>
    <n v="197.23599999999999"/>
    <n v="3747.4839999999999"/>
    <n v="9"/>
    <x v="473"/>
    <n v="0"/>
  </r>
  <r>
    <d v="2024-01-15T00:00:00"/>
    <x v="1"/>
    <x v="3"/>
    <x v="16"/>
    <n v="291.58"/>
    <s v="Store B"/>
    <x v="0"/>
    <n v="0"/>
    <x v="2"/>
    <n v="1749.48"/>
    <x v="2"/>
    <s v="FREESHIP"/>
    <n v="0"/>
    <s v="REG100655"/>
    <x v="629"/>
    <n v="30.25"/>
    <x v="481"/>
    <d v="2024-01-17T00:00:00"/>
    <x v="1"/>
    <n v="1749.48"/>
    <n v="0"/>
    <n v="1749.48"/>
    <n v="2"/>
    <x v="0"/>
    <n v="0"/>
  </r>
  <r>
    <d v="2024-01-04T00:00:00"/>
    <x v="4"/>
    <x v="5"/>
    <x v="1"/>
    <n v="103.13"/>
    <s v="Store B"/>
    <x v="0"/>
    <n v="0"/>
    <x v="5"/>
    <n v="103.13"/>
    <x v="0"/>
    <s v="FREESHIP"/>
    <n v="0"/>
    <s v="REG100656"/>
    <x v="630"/>
    <n v="42.38"/>
    <x v="482"/>
    <d v="2024-01-14T00:00:00"/>
    <x v="4"/>
    <n v="103.13"/>
    <n v="0"/>
    <n v="103.13"/>
    <n v="10"/>
    <x v="0"/>
    <n v="0"/>
  </r>
  <r>
    <d v="2023-02-09T00:00:00"/>
    <x v="0"/>
    <x v="4"/>
    <x v="1"/>
    <n v="541.9"/>
    <s v="Store A"/>
    <x v="1"/>
    <n v="0.05"/>
    <x v="0"/>
    <n v="514.80499999999995"/>
    <x v="4"/>
    <s v="WINTER15"/>
    <n v="0"/>
    <s v="REG100657"/>
    <x v="353"/>
    <n v="40.35"/>
    <x v="483"/>
    <d v="2023-02-19T00:00:00"/>
    <x v="0"/>
    <n v="541.9"/>
    <n v="27.094999999999999"/>
    <n v="514.80499999999995"/>
    <n v="10"/>
    <x v="474"/>
    <n v="0"/>
  </r>
  <r>
    <d v="2024-06-20T00:00:00"/>
    <x v="2"/>
    <x v="1"/>
    <x v="10"/>
    <n v="303.08999999999997"/>
    <s v="Store D"/>
    <x v="0"/>
    <n v="0.1"/>
    <x v="4"/>
    <n v="3000.5909999999999"/>
    <x v="0"/>
    <s v="SAVE10"/>
    <n v="0"/>
    <s v="REG100658"/>
    <x v="631"/>
    <n v="21.88"/>
    <x v="249"/>
    <d v="2024-06-24T00:00:00"/>
    <x v="2"/>
    <n v="3333.99"/>
    <n v="333.399"/>
    <n v="3000.5909999999999"/>
    <n v="4"/>
    <x v="475"/>
    <n v="0"/>
  </r>
  <r>
    <d v="2023-02-21T00:00:00"/>
    <x v="3"/>
    <x v="2"/>
    <x v="10"/>
    <n v="61.81"/>
    <s v="Store C"/>
    <x v="1"/>
    <n v="0.05"/>
    <x v="5"/>
    <n v="645.91450000000009"/>
    <x v="1"/>
    <s v="WINTER15"/>
    <n v="0"/>
    <s v="REG100659"/>
    <x v="632"/>
    <n v="47.95"/>
    <x v="220"/>
    <d v="2023-03-03T00:00:00"/>
    <x v="3"/>
    <n v="679.91000000000008"/>
    <n v="33.995500000000007"/>
    <n v="645.91450000000009"/>
    <n v="10"/>
    <x v="476"/>
    <n v="0"/>
  </r>
  <r>
    <d v="2023-08-16T00:00:00"/>
    <x v="3"/>
    <x v="2"/>
    <x v="19"/>
    <n v="355.15"/>
    <s v="Store B"/>
    <x v="1"/>
    <n v="0.1"/>
    <x v="3"/>
    <n v="2557.08"/>
    <x v="0"/>
    <m/>
    <n v="1"/>
    <s v="REG100660"/>
    <x v="633"/>
    <n v="38.590000000000003"/>
    <x v="484"/>
    <d v="2023-08-24T00:00:00"/>
    <x v="3"/>
    <n v="2841.2"/>
    <n v="284.12"/>
    <n v="2557.08"/>
    <n v="8"/>
    <x v="477"/>
    <n v="0"/>
  </r>
  <r>
    <d v="2023-11-03T00:00:00"/>
    <x v="4"/>
    <x v="4"/>
    <x v="10"/>
    <n v="119.84"/>
    <s v="Store D"/>
    <x v="0"/>
    <n v="0.1"/>
    <x v="0"/>
    <n v="1186.4159999999999"/>
    <x v="0"/>
    <s v="SAVE10"/>
    <n v="0"/>
    <s v="REG100661"/>
    <x v="634"/>
    <n v="16.64"/>
    <x v="257"/>
    <d v="2023-11-11T00:00:00"/>
    <x v="4"/>
    <n v="1318.24"/>
    <n v="131.82400000000001"/>
    <n v="1186.4159999999999"/>
    <n v="8"/>
    <x v="478"/>
    <n v="0"/>
  </r>
  <r>
    <d v="2024-04-26T00:00:00"/>
    <x v="1"/>
    <x v="0"/>
    <x v="18"/>
    <n v="318.32"/>
    <s v="Store C"/>
    <x v="0"/>
    <n v="0.05"/>
    <x v="4"/>
    <n v="4838.4639999999999"/>
    <x v="2"/>
    <s v="FREESHIP"/>
    <n v="0"/>
    <s v="REG100662"/>
    <x v="635"/>
    <n v="40.78"/>
    <x v="478"/>
    <d v="2024-05-01T00:00:00"/>
    <x v="1"/>
    <n v="5093.12"/>
    <n v="254.65600000000001"/>
    <n v="4838.4639999999999"/>
    <n v="5"/>
    <x v="479"/>
    <n v="0"/>
  </r>
  <r>
    <d v="2024-10-08T00:00:00"/>
    <x v="1"/>
    <x v="2"/>
    <x v="17"/>
    <n v="446.49"/>
    <s v="Store D"/>
    <x v="0"/>
    <n v="0.15"/>
    <x v="3"/>
    <n v="3415.6484999999998"/>
    <x v="4"/>
    <s v="FREESHIP"/>
    <n v="0"/>
    <s v="REG100663"/>
    <x v="636"/>
    <n v="5.77"/>
    <x v="485"/>
    <d v="2024-10-17T00:00:00"/>
    <x v="1"/>
    <n v="4018.41"/>
    <n v="602.76149999999996"/>
    <n v="3415.6484999999998"/>
    <n v="9"/>
    <x v="480"/>
    <n v="0"/>
  </r>
  <r>
    <d v="2023-01-09T00:00:00"/>
    <x v="1"/>
    <x v="2"/>
    <x v="18"/>
    <n v="258.82"/>
    <s v="Store D"/>
    <x v="1"/>
    <n v="0.1"/>
    <x v="4"/>
    <n v="3727.0079999999998"/>
    <x v="0"/>
    <s v="SAVE10"/>
    <n v="0"/>
    <s v="REG100664"/>
    <x v="637"/>
    <n v="46.93"/>
    <x v="7"/>
    <d v="2023-01-17T00:00:00"/>
    <x v="1"/>
    <n v="4141.12"/>
    <n v="414.11200000000002"/>
    <n v="3727.0079999999998"/>
    <n v="8"/>
    <x v="481"/>
    <n v="0"/>
  </r>
  <r>
    <d v="2023-12-25T00:00:00"/>
    <x v="2"/>
    <x v="6"/>
    <x v="17"/>
    <n v="272.68"/>
    <s v="Store D"/>
    <x v="0"/>
    <n v="0.05"/>
    <x v="0"/>
    <n v="2331.4140000000002"/>
    <x v="0"/>
    <s v="SAVE10"/>
    <n v="0"/>
    <s v="REG100665"/>
    <x v="638"/>
    <n v="16.43"/>
    <x v="486"/>
    <d v="2024-01-02T00:00:00"/>
    <x v="2"/>
    <n v="2454.12"/>
    <n v="122.706"/>
    <n v="2331.4139999999998"/>
    <n v="8"/>
    <x v="482"/>
    <n v="0"/>
  </r>
  <r>
    <d v="2024-05-11T00:00:00"/>
    <x v="3"/>
    <x v="4"/>
    <x v="13"/>
    <n v="438.77"/>
    <s v="Store C"/>
    <x v="1"/>
    <n v="0"/>
    <x v="0"/>
    <n v="5265.24"/>
    <x v="3"/>
    <s v="SAVE10"/>
    <n v="0"/>
    <s v="REG100666"/>
    <x v="639"/>
    <n v="9.31"/>
    <x v="487"/>
    <d v="2024-05-20T00:00:00"/>
    <x v="3"/>
    <n v="5265.24"/>
    <n v="0"/>
    <n v="5265.24"/>
    <n v="9"/>
    <x v="0"/>
    <n v="0"/>
  </r>
  <r>
    <d v="2023-11-23T00:00:00"/>
    <x v="4"/>
    <x v="5"/>
    <x v="2"/>
    <n v="267.63"/>
    <s v="Store B"/>
    <x v="1"/>
    <n v="0"/>
    <x v="3"/>
    <n v="4817.34"/>
    <x v="1"/>
    <s v="SAVE10"/>
    <n v="0"/>
    <s v="REG100667"/>
    <x v="640"/>
    <n v="44.48"/>
    <x v="488"/>
    <d v="2023-11-26T00:00:00"/>
    <x v="4"/>
    <n v="4817.34"/>
    <n v="0"/>
    <n v="4817.34"/>
    <n v="3"/>
    <x v="0"/>
    <n v="0"/>
  </r>
  <r>
    <d v="2023-12-10T00:00:00"/>
    <x v="3"/>
    <x v="6"/>
    <x v="16"/>
    <n v="115.94"/>
    <s v="Store A"/>
    <x v="0"/>
    <n v="0.05"/>
    <x v="3"/>
    <n v="660.85799999999995"/>
    <x v="2"/>
    <s v="SAVE10"/>
    <n v="0"/>
    <s v="REG100668"/>
    <x v="641"/>
    <n v="23.91"/>
    <x v="489"/>
    <d v="2023-12-12T00:00:00"/>
    <x v="3"/>
    <n v="695.64"/>
    <n v="34.782000000000004"/>
    <n v="660.85799999999995"/>
    <n v="2"/>
    <x v="483"/>
    <n v="0"/>
  </r>
  <r>
    <d v="2024-02-03T00:00:00"/>
    <x v="2"/>
    <x v="6"/>
    <x v="8"/>
    <n v="275.77999999999997"/>
    <s v="Store C"/>
    <x v="1"/>
    <n v="0"/>
    <x v="2"/>
    <n v="5239.82"/>
    <x v="4"/>
    <s v="SAVE10"/>
    <n v="0"/>
    <s v="REG100669"/>
    <x v="642"/>
    <n v="47"/>
    <x v="490"/>
    <d v="2024-02-05T00:00:00"/>
    <x v="2"/>
    <n v="5239.82"/>
    <n v="0"/>
    <n v="5239.82"/>
    <n v="2"/>
    <x v="0"/>
    <n v="0"/>
  </r>
  <r>
    <d v="2024-11-24T00:00:00"/>
    <x v="3"/>
    <x v="3"/>
    <x v="13"/>
    <n v="255.93"/>
    <s v="Store B"/>
    <x v="1"/>
    <n v="0"/>
    <x v="0"/>
    <n v="3071.16"/>
    <x v="4"/>
    <s v="WINTER15"/>
    <n v="0"/>
    <s v="REG100670"/>
    <x v="643"/>
    <n v="23.74"/>
    <x v="224"/>
    <d v="2024-12-04T00:00:00"/>
    <x v="3"/>
    <n v="3071.16"/>
    <n v="0"/>
    <n v="3071.16"/>
    <n v="10"/>
    <x v="0"/>
    <n v="0"/>
  </r>
  <r>
    <d v="2024-03-06T00:00:00"/>
    <x v="4"/>
    <x v="1"/>
    <x v="1"/>
    <n v="381.21"/>
    <s v="Store D"/>
    <x v="0"/>
    <n v="0.15"/>
    <x v="5"/>
    <n v="324.02850000000001"/>
    <x v="0"/>
    <m/>
    <n v="0"/>
    <s v="REG100671"/>
    <x v="644"/>
    <n v="9.9499999999999993"/>
    <x v="491"/>
    <d v="2024-03-11T00:00:00"/>
    <x v="4"/>
    <n v="381.21"/>
    <n v="57.181499999999993"/>
    <n v="324.02850000000001"/>
    <n v="5"/>
    <x v="484"/>
    <n v="0"/>
  </r>
  <r>
    <d v="2025-02-01T00:00:00"/>
    <x v="1"/>
    <x v="2"/>
    <x v="6"/>
    <n v="38.229999999999997"/>
    <s v="Store C"/>
    <x v="0"/>
    <n v="0.15"/>
    <x v="5"/>
    <n v="162.47749999999999"/>
    <x v="3"/>
    <m/>
    <n v="0"/>
    <s v="REG100672"/>
    <x v="645"/>
    <n v="21.06"/>
    <x v="492"/>
    <d v="2025-02-11T00:00:00"/>
    <x v="1"/>
    <n v="191.14999999999998"/>
    <n v="28.672499999999996"/>
    <n v="162.47749999999999"/>
    <n v="10"/>
    <x v="485"/>
    <n v="0"/>
  </r>
  <r>
    <d v="2024-06-04T00:00:00"/>
    <x v="3"/>
    <x v="0"/>
    <x v="4"/>
    <n v="225.86"/>
    <s v="Store B"/>
    <x v="0"/>
    <n v="0"/>
    <x v="3"/>
    <n v="1581.02"/>
    <x v="3"/>
    <m/>
    <n v="0"/>
    <s v="REG100673"/>
    <x v="646"/>
    <n v="24.48"/>
    <x v="44"/>
    <d v="2024-06-09T00:00:00"/>
    <x v="3"/>
    <n v="1581.02"/>
    <n v="0"/>
    <n v="1581.02"/>
    <n v="5"/>
    <x v="0"/>
    <n v="0"/>
  </r>
  <r>
    <d v="2023-08-06T00:00:00"/>
    <x v="3"/>
    <x v="2"/>
    <x v="19"/>
    <n v="548.02"/>
    <s v="Store D"/>
    <x v="1"/>
    <n v="0.05"/>
    <x v="0"/>
    <n v="4164.9519999999993"/>
    <x v="0"/>
    <m/>
    <n v="0"/>
    <s v="REG100674"/>
    <x v="647"/>
    <n v="33.4"/>
    <x v="23"/>
    <d v="2023-08-13T00:00:00"/>
    <x v="3"/>
    <n v="4384.16"/>
    <n v="219.208"/>
    <n v="4164.9520000000002"/>
    <n v="7"/>
    <x v="486"/>
    <n v="0"/>
  </r>
  <r>
    <d v="2023-06-30T00:00:00"/>
    <x v="4"/>
    <x v="6"/>
    <x v="2"/>
    <n v="485.3"/>
    <s v="Store D"/>
    <x v="0"/>
    <n v="0.05"/>
    <x v="5"/>
    <n v="8298.6299999999992"/>
    <x v="3"/>
    <s v="FREESHIP"/>
    <n v="1"/>
    <s v="REG100675"/>
    <x v="648"/>
    <n v="47.77"/>
    <x v="43"/>
    <d v="2023-07-05T00:00:00"/>
    <x v="4"/>
    <n v="8735.4"/>
    <n v="436.77"/>
    <n v="8298.6299999999992"/>
    <n v="5"/>
    <x v="487"/>
    <n v="0"/>
  </r>
  <r>
    <d v="2023-02-15T00:00:00"/>
    <x v="4"/>
    <x v="6"/>
    <x v="8"/>
    <n v="414.31"/>
    <s v="Store A"/>
    <x v="1"/>
    <n v="0.1"/>
    <x v="0"/>
    <n v="7084.701"/>
    <x v="2"/>
    <s v="SAVE10"/>
    <n v="0"/>
    <s v="REG100676"/>
    <x v="649"/>
    <n v="17.43"/>
    <x v="493"/>
    <d v="2023-02-19T00:00:00"/>
    <x v="4"/>
    <n v="7871.89"/>
    <n v="787.18900000000008"/>
    <n v="7084.701"/>
    <n v="4"/>
    <x v="488"/>
    <n v="0"/>
  </r>
  <r>
    <d v="2024-01-23T00:00:00"/>
    <x v="2"/>
    <x v="6"/>
    <x v="19"/>
    <n v="50.72"/>
    <s v="Store A"/>
    <x v="0"/>
    <n v="0.05"/>
    <x v="3"/>
    <n v="385.47199999999998"/>
    <x v="3"/>
    <m/>
    <n v="0"/>
    <s v="REG100677"/>
    <x v="650"/>
    <n v="12.35"/>
    <x v="145"/>
    <d v="2024-01-30T00:00:00"/>
    <x v="2"/>
    <n v="405.76"/>
    <n v="20.288"/>
    <n v="385.47199999999998"/>
    <n v="7"/>
    <x v="489"/>
    <n v="0"/>
  </r>
  <r>
    <d v="2024-10-31T00:00:00"/>
    <x v="2"/>
    <x v="5"/>
    <x v="9"/>
    <n v="83.26"/>
    <s v="Store A"/>
    <x v="0"/>
    <n v="0.15"/>
    <x v="0"/>
    <n v="1203.107"/>
    <x v="4"/>
    <s v="SAVE10"/>
    <n v="0"/>
    <s v="REG100678"/>
    <x v="651"/>
    <n v="42.68"/>
    <x v="335"/>
    <d v="2024-11-06T00:00:00"/>
    <x v="2"/>
    <n v="1415.42"/>
    <n v="212.31300000000002"/>
    <n v="1203.107"/>
    <n v="6"/>
    <x v="490"/>
    <n v="0"/>
  </r>
  <r>
    <d v="2023-12-19T00:00:00"/>
    <x v="3"/>
    <x v="2"/>
    <x v="11"/>
    <n v="51.85"/>
    <s v="Store C"/>
    <x v="0"/>
    <n v="0.15"/>
    <x v="3"/>
    <n v="881.44999999999993"/>
    <x v="4"/>
    <m/>
    <n v="0"/>
    <s v="REG100679"/>
    <x v="652"/>
    <n v="33.159999999999997"/>
    <x v="373"/>
    <d v="2023-12-21T00:00:00"/>
    <x v="3"/>
    <n v="1037"/>
    <n v="155.54999999999998"/>
    <n v="881.45"/>
    <n v="2"/>
    <x v="491"/>
    <n v="0"/>
  </r>
  <r>
    <d v="2023-07-04T00:00:00"/>
    <x v="1"/>
    <x v="5"/>
    <x v="13"/>
    <n v="122.51"/>
    <s v="Store B"/>
    <x v="0"/>
    <n v="0.05"/>
    <x v="4"/>
    <n v="1396.614"/>
    <x v="1"/>
    <s v="WINTER15"/>
    <n v="0"/>
    <s v="REG100680"/>
    <x v="281"/>
    <n v="43.47"/>
    <x v="250"/>
    <d v="2023-07-06T00:00:00"/>
    <x v="1"/>
    <n v="1470.1200000000001"/>
    <n v="73.506000000000014"/>
    <n v="1396.614"/>
    <n v="2"/>
    <x v="492"/>
    <n v="0"/>
  </r>
  <r>
    <d v="2024-05-16T00:00:00"/>
    <x v="0"/>
    <x v="0"/>
    <x v="10"/>
    <n v="222.13"/>
    <s v="Store D"/>
    <x v="0"/>
    <n v="0.15"/>
    <x v="0"/>
    <n v="2076.9155000000001"/>
    <x v="4"/>
    <s v="WINTER15"/>
    <n v="1"/>
    <s v="REG100681"/>
    <x v="653"/>
    <n v="9.8800000000000008"/>
    <x v="494"/>
    <d v="2024-05-18T00:00:00"/>
    <x v="0"/>
    <n v="2443.4299999999998"/>
    <n v="366.51449999999994"/>
    <n v="2076.9155000000001"/>
    <n v="2"/>
    <x v="493"/>
    <n v="0"/>
  </r>
  <r>
    <d v="2023-09-16T00:00:00"/>
    <x v="2"/>
    <x v="4"/>
    <x v="19"/>
    <n v="204.84"/>
    <s v="Store C"/>
    <x v="1"/>
    <n v="0"/>
    <x v="5"/>
    <n v="1638.72"/>
    <x v="4"/>
    <m/>
    <n v="0"/>
    <s v="REG100682"/>
    <x v="654"/>
    <n v="43.4"/>
    <x v="292"/>
    <d v="2023-09-21T00:00:00"/>
    <x v="2"/>
    <n v="1638.72"/>
    <n v="0"/>
    <n v="1638.72"/>
    <n v="5"/>
    <x v="0"/>
    <n v="0"/>
  </r>
  <r>
    <d v="2024-11-22T00:00:00"/>
    <x v="0"/>
    <x v="3"/>
    <x v="5"/>
    <n v="536.97"/>
    <s v="Store C"/>
    <x v="0"/>
    <n v="0"/>
    <x v="3"/>
    <n v="1610.91"/>
    <x v="3"/>
    <m/>
    <n v="0"/>
    <s v="REG100683"/>
    <x v="655"/>
    <n v="13.86"/>
    <x v="196"/>
    <d v="2024-12-01T00:00:00"/>
    <x v="0"/>
    <n v="1610.91"/>
    <n v="0"/>
    <n v="1610.91"/>
    <n v="9"/>
    <x v="0"/>
    <n v="0"/>
  </r>
  <r>
    <d v="2024-04-13T00:00:00"/>
    <x v="4"/>
    <x v="3"/>
    <x v="7"/>
    <n v="553.01"/>
    <s v="Store A"/>
    <x v="1"/>
    <n v="0.1"/>
    <x v="3"/>
    <n v="7465.6350000000002"/>
    <x v="2"/>
    <s v="SAVE10"/>
    <n v="1"/>
    <s v="REG100684"/>
    <x v="656"/>
    <n v="23.3"/>
    <x v="495"/>
    <d v="2024-04-21T00:00:00"/>
    <x v="4"/>
    <n v="8295.15"/>
    <n v="829.51499999999999"/>
    <n v="7465.6349999999993"/>
    <n v="8"/>
    <x v="494"/>
    <n v="0"/>
  </r>
  <r>
    <d v="2024-06-30T00:00:00"/>
    <x v="1"/>
    <x v="3"/>
    <x v="11"/>
    <n v="284.82"/>
    <s v="Store D"/>
    <x v="1"/>
    <n v="0.1"/>
    <x v="1"/>
    <n v="5126.76"/>
    <x v="2"/>
    <s v="WINTER15"/>
    <n v="1"/>
    <s v="REG100685"/>
    <x v="657"/>
    <n v="27"/>
    <x v="261"/>
    <d v="2024-07-06T00:00:00"/>
    <x v="1"/>
    <n v="5696.4"/>
    <n v="569.64"/>
    <n v="5126.7599999999993"/>
    <n v="6"/>
    <x v="495"/>
    <n v="0"/>
  </r>
  <r>
    <d v="2024-08-29T00:00:00"/>
    <x v="2"/>
    <x v="2"/>
    <x v="2"/>
    <n v="523.87"/>
    <s v="Store C"/>
    <x v="1"/>
    <n v="0.15"/>
    <x v="4"/>
    <n v="8015.2109999999993"/>
    <x v="1"/>
    <s v="WINTER15"/>
    <n v="0"/>
    <s v="REG100686"/>
    <x v="658"/>
    <n v="42.63"/>
    <x v="496"/>
    <d v="2024-09-02T00:00:00"/>
    <x v="2"/>
    <n v="9429.66"/>
    <n v="1414.4489999999998"/>
    <n v="8015.2110000000002"/>
    <n v="4"/>
    <x v="496"/>
    <n v="0"/>
  </r>
  <r>
    <d v="2023-12-26T00:00:00"/>
    <x v="3"/>
    <x v="2"/>
    <x v="5"/>
    <n v="232.13"/>
    <s v="Store B"/>
    <x v="1"/>
    <n v="0.1"/>
    <x v="4"/>
    <n v="626.75099999999998"/>
    <x v="4"/>
    <m/>
    <n v="1"/>
    <s v="REG100687"/>
    <x v="659"/>
    <n v="46.65"/>
    <x v="442"/>
    <d v="2023-12-31T00:00:00"/>
    <x v="3"/>
    <n v="696.39"/>
    <n v="69.638999999999996"/>
    <n v="626.75099999999998"/>
    <n v="5"/>
    <x v="497"/>
    <n v="0"/>
  </r>
  <r>
    <d v="2025-01-30T00:00:00"/>
    <x v="2"/>
    <x v="1"/>
    <x v="9"/>
    <n v="179.32"/>
    <s v="Store A"/>
    <x v="1"/>
    <n v="0.1"/>
    <x v="5"/>
    <n v="2743.596"/>
    <x v="3"/>
    <s v="SAVE10"/>
    <n v="1"/>
    <s v="REG100688"/>
    <x v="660"/>
    <n v="26.74"/>
    <x v="258"/>
    <d v="2025-02-06T00:00:00"/>
    <x v="2"/>
    <n v="3048.44"/>
    <n v="304.84399999999999"/>
    <n v="2743.596"/>
    <n v="7"/>
    <x v="498"/>
    <n v="0"/>
  </r>
  <r>
    <d v="2023-05-17T00:00:00"/>
    <x v="1"/>
    <x v="3"/>
    <x v="1"/>
    <n v="396.35"/>
    <s v="Store B"/>
    <x v="1"/>
    <n v="0.15"/>
    <x v="2"/>
    <n v="336.89749999999998"/>
    <x v="3"/>
    <s v="SAVE10"/>
    <n v="1"/>
    <s v="REG100689"/>
    <x v="661"/>
    <n v="19.89"/>
    <x v="497"/>
    <d v="2023-05-25T00:00:00"/>
    <x v="1"/>
    <n v="396.35"/>
    <n v="59.452500000000001"/>
    <n v="336.89750000000004"/>
    <n v="8"/>
    <x v="499"/>
    <n v="0"/>
  </r>
  <r>
    <d v="2024-01-27T00:00:00"/>
    <x v="3"/>
    <x v="2"/>
    <x v="9"/>
    <n v="108.48"/>
    <s v="Store A"/>
    <x v="0"/>
    <n v="0.1"/>
    <x v="3"/>
    <n v="1659.7439999999999"/>
    <x v="0"/>
    <m/>
    <n v="1"/>
    <s v="REG100690"/>
    <x v="662"/>
    <n v="48.9"/>
    <x v="498"/>
    <d v="2024-02-05T00:00:00"/>
    <x v="3"/>
    <n v="1844.16"/>
    <n v="184.41600000000003"/>
    <n v="1659.7440000000001"/>
    <n v="9"/>
    <x v="500"/>
    <n v="0"/>
  </r>
  <r>
    <d v="2025-05-26T00:00:00"/>
    <x v="0"/>
    <x v="6"/>
    <x v="12"/>
    <n v="149.66999999999999"/>
    <s v="Store D"/>
    <x v="1"/>
    <n v="0.1"/>
    <x v="3"/>
    <n v="1347.03"/>
    <x v="4"/>
    <s v="FREESHIP"/>
    <n v="1"/>
    <s v="REG100691"/>
    <x v="663"/>
    <n v="49.67"/>
    <x v="499"/>
    <d v="2025-06-02T00:00:00"/>
    <x v="0"/>
    <n v="1496.6999999999998"/>
    <n v="149.66999999999999"/>
    <n v="1347.0299999999997"/>
    <n v="7"/>
    <x v="501"/>
    <n v="0"/>
  </r>
  <r>
    <d v="2025-03-09T00:00:00"/>
    <x v="2"/>
    <x v="1"/>
    <x v="1"/>
    <n v="506.41"/>
    <s v="Store D"/>
    <x v="0"/>
    <n v="0"/>
    <x v="5"/>
    <n v="506.41"/>
    <x v="4"/>
    <m/>
    <n v="0"/>
    <s v="REG100692"/>
    <x v="664"/>
    <n v="17.899999999999999"/>
    <x v="31"/>
    <d v="2025-03-17T00:00:00"/>
    <x v="2"/>
    <n v="506.41"/>
    <n v="0"/>
    <n v="506.41"/>
    <n v="8"/>
    <x v="0"/>
    <n v="0"/>
  </r>
  <r>
    <d v="2024-02-22T00:00:00"/>
    <x v="4"/>
    <x v="5"/>
    <x v="16"/>
    <n v="345.9"/>
    <s v="Store B"/>
    <x v="1"/>
    <n v="0.15"/>
    <x v="2"/>
    <n v="1764.09"/>
    <x v="2"/>
    <s v="WINTER15"/>
    <n v="0"/>
    <s v="REG100693"/>
    <x v="665"/>
    <n v="30.58"/>
    <x v="193"/>
    <d v="2024-03-03T00:00:00"/>
    <x v="4"/>
    <n v="2075.3999999999996"/>
    <n v="311.30999999999995"/>
    <n v="1764.0899999999997"/>
    <n v="10"/>
    <x v="502"/>
    <n v="0"/>
  </r>
  <r>
    <d v="2025-02-03T00:00:00"/>
    <x v="0"/>
    <x v="5"/>
    <x v="7"/>
    <n v="342.04"/>
    <s v="Store C"/>
    <x v="1"/>
    <n v="0.15"/>
    <x v="4"/>
    <n v="4361.01"/>
    <x v="1"/>
    <s v="WINTER15"/>
    <n v="0"/>
    <s v="REG100694"/>
    <x v="666"/>
    <n v="44.91"/>
    <x v="45"/>
    <d v="2025-02-08T00:00:00"/>
    <x v="0"/>
    <n v="5130.6000000000004"/>
    <n v="769.59"/>
    <n v="4361.01"/>
    <n v="5"/>
    <x v="503"/>
    <n v="0"/>
  </r>
  <r>
    <d v="2024-01-09T00:00:00"/>
    <x v="3"/>
    <x v="6"/>
    <x v="10"/>
    <n v="404.88"/>
    <s v="Store A"/>
    <x v="0"/>
    <n v="0.05"/>
    <x v="1"/>
    <n v="4230.9960000000001"/>
    <x v="1"/>
    <s v="SAVE10"/>
    <n v="0"/>
    <s v="REG100695"/>
    <x v="667"/>
    <n v="18.920000000000002"/>
    <x v="46"/>
    <d v="2024-01-16T00:00:00"/>
    <x v="3"/>
    <n v="4453.68"/>
    <n v="222.68400000000003"/>
    <n v="4230.9960000000001"/>
    <n v="7"/>
    <x v="504"/>
    <n v="0"/>
  </r>
  <r>
    <d v="2025-05-05T00:00:00"/>
    <x v="2"/>
    <x v="2"/>
    <x v="17"/>
    <n v="292.45999999999998"/>
    <s v="Store A"/>
    <x v="0"/>
    <n v="0.05"/>
    <x v="3"/>
    <n v="2500.5329999999999"/>
    <x v="2"/>
    <m/>
    <n v="0"/>
    <s v="REG100696"/>
    <x v="668"/>
    <n v="34.26"/>
    <x v="500"/>
    <d v="2025-05-14T00:00:00"/>
    <x v="2"/>
    <n v="2632.14"/>
    <n v="131.607"/>
    <n v="2500.5329999999999"/>
    <n v="9"/>
    <x v="505"/>
    <n v="0"/>
  </r>
  <r>
    <d v="2023-04-17T00:00:00"/>
    <x v="3"/>
    <x v="2"/>
    <x v="6"/>
    <n v="547.53"/>
    <s v="Store A"/>
    <x v="1"/>
    <n v="0.1"/>
    <x v="0"/>
    <n v="2463.8850000000002"/>
    <x v="3"/>
    <m/>
    <n v="0"/>
    <s v="REG100697"/>
    <x v="669"/>
    <n v="24.68"/>
    <x v="417"/>
    <d v="2023-04-21T00:00:00"/>
    <x v="3"/>
    <n v="2737.6499999999996"/>
    <n v="273.76499999999999"/>
    <n v="2463.8849999999998"/>
    <n v="4"/>
    <x v="506"/>
    <n v="0"/>
  </r>
  <r>
    <d v="2024-06-16T00:00:00"/>
    <x v="1"/>
    <x v="2"/>
    <x v="13"/>
    <n v="348.88"/>
    <s v="Store C"/>
    <x v="0"/>
    <n v="0"/>
    <x v="1"/>
    <n v="4186.5599999999986"/>
    <x v="2"/>
    <s v="SAVE10"/>
    <n v="0"/>
    <s v="REG100698"/>
    <x v="670"/>
    <n v="31.28"/>
    <x v="40"/>
    <d v="2024-06-21T00:00:00"/>
    <x v="1"/>
    <n v="4186.5599999999995"/>
    <n v="0"/>
    <n v="4186.5599999999995"/>
    <n v="5"/>
    <x v="0"/>
    <n v="0"/>
  </r>
  <r>
    <d v="2024-11-01T00:00:00"/>
    <x v="1"/>
    <x v="1"/>
    <x v="7"/>
    <n v="486.03"/>
    <s v="Store C"/>
    <x v="0"/>
    <n v="0"/>
    <x v="1"/>
    <n v="7290.45"/>
    <x v="3"/>
    <s v="WINTER15"/>
    <n v="0"/>
    <s v="REG100699"/>
    <x v="671"/>
    <n v="14.9"/>
    <x v="501"/>
    <d v="2024-11-04T00:00:00"/>
    <x v="1"/>
    <n v="7290.45"/>
    <n v="0"/>
    <n v="7290.45"/>
    <n v="3"/>
    <x v="0"/>
    <n v="0"/>
  </r>
  <r>
    <d v="2025-02-07T00:00:00"/>
    <x v="0"/>
    <x v="5"/>
    <x v="0"/>
    <n v="159.09"/>
    <s v="Store C"/>
    <x v="1"/>
    <n v="0.15"/>
    <x v="5"/>
    <n v="1893.171"/>
    <x v="3"/>
    <s v="FREESHIP"/>
    <n v="0"/>
    <s v="REG100700"/>
    <x v="672"/>
    <n v="27.05"/>
    <x v="439"/>
    <d v="2025-02-10T00:00:00"/>
    <x v="0"/>
    <n v="2227.2600000000002"/>
    <n v="334.089"/>
    <n v="1893.1710000000003"/>
    <n v="3"/>
    <x v="507"/>
    <n v="0"/>
  </r>
  <r>
    <d v="2024-11-24T00:00:00"/>
    <x v="1"/>
    <x v="4"/>
    <x v="13"/>
    <n v="173.79"/>
    <s v="Store D"/>
    <x v="1"/>
    <n v="0.15"/>
    <x v="0"/>
    <n v="1772.6579999999999"/>
    <x v="2"/>
    <m/>
    <n v="0"/>
    <s v="REG100701"/>
    <x v="673"/>
    <n v="21.23"/>
    <x v="224"/>
    <d v="2024-12-04T00:00:00"/>
    <x v="1"/>
    <n v="2085.48"/>
    <n v="312.822"/>
    <n v="1772.6579999999999"/>
    <n v="10"/>
    <x v="508"/>
    <n v="0"/>
  </r>
  <r>
    <d v="2024-04-23T00:00:00"/>
    <x v="3"/>
    <x v="4"/>
    <x v="14"/>
    <n v="439.75"/>
    <s v="Store A"/>
    <x v="0"/>
    <n v="0"/>
    <x v="2"/>
    <n v="5716.75"/>
    <x v="0"/>
    <m/>
    <n v="1"/>
    <s v="REG100702"/>
    <x v="297"/>
    <n v="12.23"/>
    <x v="502"/>
    <d v="2024-05-02T00:00:00"/>
    <x v="3"/>
    <n v="5716.75"/>
    <n v="0"/>
    <n v="5716.75"/>
    <n v="9"/>
    <x v="0"/>
    <n v="0"/>
  </r>
  <r>
    <d v="2024-06-24T00:00:00"/>
    <x v="0"/>
    <x v="0"/>
    <x v="17"/>
    <n v="265.43"/>
    <s v="Store D"/>
    <x v="0"/>
    <n v="0.05"/>
    <x v="0"/>
    <n v="2269.4265"/>
    <x v="2"/>
    <s v="FREESHIP"/>
    <n v="0"/>
    <s v="REG100703"/>
    <x v="674"/>
    <n v="40.18"/>
    <x v="503"/>
    <d v="2024-06-27T00:00:00"/>
    <x v="0"/>
    <n v="2388.87"/>
    <n v="119.4435"/>
    <n v="2269.4265"/>
    <n v="3"/>
    <x v="509"/>
    <n v="0"/>
  </r>
  <r>
    <d v="2025-06-01T00:00:00"/>
    <x v="4"/>
    <x v="4"/>
    <x v="13"/>
    <n v="290.27999999999997"/>
    <s v="Store B"/>
    <x v="1"/>
    <n v="0.1"/>
    <x v="3"/>
    <n v="3135.0239999999999"/>
    <x v="4"/>
    <s v="FREESHIP"/>
    <n v="1"/>
    <s v="REG100704"/>
    <x v="675"/>
    <n v="5.55"/>
    <x v="216"/>
    <d v="2025-06-07T00:00:00"/>
    <x v="4"/>
    <n v="3483.3599999999997"/>
    <n v="348.33600000000001"/>
    <n v="3135.0239999999994"/>
    <n v="6"/>
    <x v="510"/>
    <n v="0"/>
  </r>
  <r>
    <d v="2023-03-12T00:00:00"/>
    <x v="4"/>
    <x v="5"/>
    <x v="16"/>
    <n v="88.7"/>
    <s v="Store B"/>
    <x v="0"/>
    <n v="0"/>
    <x v="3"/>
    <n v="532.20000000000005"/>
    <x v="1"/>
    <m/>
    <n v="0"/>
    <s v="REG100705"/>
    <x v="676"/>
    <n v="16.98"/>
    <x v="504"/>
    <d v="2023-03-14T00:00:00"/>
    <x v="4"/>
    <n v="532.20000000000005"/>
    <n v="0"/>
    <n v="532.20000000000005"/>
    <n v="2"/>
    <x v="0"/>
    <n v="0"/>
  </r>
  <r>
    <d v="2024-11-11T00:00:00"/>
    <x v="3"/>
    <x v="2"/>
    <x v="3"/>
    <n v="239.69"/>
    <s v="Store C"/>
    <x v="1"/>
    <n v="0"/>
    <x v="4"/>
    <n v="479.38"/>
    <x v="2"/>
    <s v="WINTER15"/>
    <n v="0"/>
    <s v="REG100706"/>
    <x v="677"/>
    <n v="28.96"/>
    <x v="207"/>
    <d v="2024-11-19T00:00:00"/>
    <x v="3"/>
    <n v="479.38"/>
    <n v="0"/>
    <n v="479.38"/>
    <n v="8"/>
    <x v="0"/>
    <n v="0"/>
  </r>
  <r>
    <d v="2024-10-17T00:00:00"/>
    <x v="3"/>
    <x v="5"/>
    <x v="19"/>
    <n v="39.79"/>
    <s v="Store C"/>
    <x v="1"/>
    <n v="0.1"/>
    <x v="5"/>
    <n v="286.488"/>
    <x v="2"/>
    <s v="SAVE10"/>
    <n v="0"/>
    <s v="REG100707"/>
    <x v="678"/>
    <n v="46.16"/>
    <x v="386"/>
    <d v="2024-10-26T00:00:00"/>
    <x v="3"/>
    <n v="318.32"/>
    <n v="31.832000000000001"/>
    <n v="286.488"/>
    <n v="9"/>
    <x v="511"/>
    <n v="0"/>
  </r>
  <r>
    <d v="2023-05-10T00:00:00"/>
    <x v="0"/>
    <x v="6"/>
    <x v="2"/>
    <n v="206.8"/>
    <s v="Store A"/>
    <x v="1"/>
    <n v="0.05"/>
    <x v="2"/>
    <n v="3536.28"/>
    <x v="3"/>
    <s v="FREESHIP"/>
    <n v="1"/>
    <s v="REG100708"/>
    <x v="679"/>
    <n v="39.25"/>
    <x v="2"/>
    <d v="2023-05-13T00:00:00"/>
    <x v="0"/>
    <n v="3722.4"/>
    <n v="186.12"/>
    <n v="3536.28"/>
    <n v="3"/>
    <x v="512"/>
    <n v="0"/>
  </r>
  <r>
    <d v="2023-07-29T00:00:00"/>
    <x v="0"/>
    <x v="0"/>
    <x v="2"/>
    <n v="175.81"/>
    <s v="Store C"/>
    <x v="1"/>
    <n v="0"/>
    <x v="0"/>
    <n v="3164.58"/>
    <x v="1"/>
    <s v="WINTER15"/>
    <n v="1"/>
    <s v="REG100709"/>
    <x v="680"/>
    <n v="26.97"/>
    <x v="237"/>
    <d v="2023-08-07T00:00:00"/>
    <x v="0"/>
    <n v="3164.58"/>
    <n v="0"/>
    <n v="3164.58"/>
    <n v="9"/>
    <x v="0"/>
    <n v="0"/>
  </r>
  <r>
    <d v="2023-08-26T00:00:00"/>
    <x v="3"/>
    <x v="1"/>
    <x v="0"/>
    <n v="547.36"/>
    <s v="Store C"/>
    <x v="1"/>
    <n v="0.15"/>
    <x v="4"/>
    <n v="6513.5839999999998"/>
    <x v="0"/>
    <s v="FREESHIP"/>
    <n v="0"/>
    <s v="REG100710"/>
    <x v="681"/>
    <n v="25.24"/>
    <x v="222"/>
    <d v="2023-08-29T00:00:00"/>
    <x v="3"/>
    <n v="7663.04"/>
    <n v="1149.4559999999999"/>
    <n v="6513.5839999999998"/>
    <n v="3"/>
    <x v="513"/>
    <n v="0"/>
  </r>
  <r>
    <d v="2023-12-28T00:00:00"/>
    <x v="0"/>
    <x v="0"/>
    <x v="8"/>
    <n v="374.8"/>
    <s v="Store A"/>
    <x v="1"/>
    <n v="0.05"/>
    <x v="3"/>
    <n v="6765.1399999999994"/>
    <x v="0"/>
    <s v="WINTER15"/>
    <n v="0"/>
    <s v="REG100711"/>
    <x v="682"/>
    <n v="41.67"/>
    <x v="505"/>
    <d v="2024-01-03T00:00:00"/>
    <x v="0"/>
    <n v="7121.2"/>
    <n v="356.06"/>
    <n v="6765.1399999999994"/>
    <n v="6"/>
    <x v="514"/>
    <n v="0"/>
  </r>
  <r>
    <d v="2025-03-10T00:00:00"/>
    <x v="2"/>
    <x v="5"/>
    <x v="17"/>
    <n v="507.74"/>
    <s v="Store D"/>
    <x v="1"/>
    <n v="0.15"/>
    <x v="5"/>
    <n v="3884.2109999999998"/>
    <x v="4"/>
    <s v="FREESHIP"/>
    <n v="1"/>
    <s v="REG100712"/>
    <x v="683"/>
    <n v="22.08"/>
    <x v="506"/>
    <d v="2025-03-17T00:00:00"/>
    <x v="2"/>
    <n v="4569.66"/>
    <n v="685.44899999999996"/>
    <n v="3884.2109999999998"/>
    <n v="7"/>
    <x v="515"/>
    <n v="0"/>
  </r>
  <r>
    <d v="2023-09-09T00:00:00"/>
    <x v="3"/>
    <x v="2"/>
    <x v="1"/>
    <n v="223.56"/>
    <s v="Store B"/>
    <x v="0"/>
    <n v="0.15"/>
    <x v="5"/>
    <n v="190.02600000000001"/>
    <x v="2"/>
    <s v="WINTER15"/>
    <n v="0"/>
    <s v="REG100713"/>
    <x v="684"/>
    <n v="37.840000000000003"/>
    <x v="507"/>
    <d v="2023-09-14T00:00:00"/>
    <x v="3"/>
    <n v="223.56"/>
    <n v="33.533999999999999"/>
    <n v="190.02600000000001"/>
    <n v="5"/>
    <x v="516"/>
    <n v="0"/>
  </r>
  <r>
    <d v="2023-05-28T00:00:00"/>
    <x v="2"/>
    <x v="5"/>
    <x v="3"/>
    <n v="294.27"/>
    <s v="Store C"/>
    <x v="1"/>
    <n v="0.1"/>
    <x v="4"/>
    <n v="529.68600000000004"/>
    <x v="1"/>
    <m/>
    <n v="0"/>
    <s v="REG100714"/>
    <x v="685"/>
    <n v="9.0500000000000007"/>
    <x v="424"/>
    <d v="2023-06-01T00:00:00"/>
    <x v="2"/>
    <n v="588.54"/>
    <n v="58.853999999999999"/>
    <n v="529.68599999999992"/>
    <n v="4"/>
    <x v="517"/>
    <n v="0"/>
  </r>
  <r>
    <d v="2025-05-21T00:00:00"/>
    <x v="4"/>
    <x v="4"/>
    <x v="1"/>
    <n v="319.49"/>
    <s v="Store C"/>
    <x v="0"/>
    <n v="0.15"/>
    <x v="4"/>
    <n v="271.56650000000002"/>
    <x v="0"/>
    <s v="FREESHIP"/>
    <n v="1"/>
    <s v="REG100715"/>
    <x v="686"/>
    <n v="18.100000000000001"/>
    <x v="83"/>
    <d v="2025-05-31T00:00:00"/>
    <x v="4"/>
    <n v="319.49"/>
    <n v="47.923499999999997"/>
    <n v="271.56650000000002"/>
    <n v="10"/>
    <x v="518"/>
    <n v="0"/>
  </r>
  <r>
    <d v="2023-09-30T00:00:00"/>
    <x v="0"/>
    <x v="0"/>
    <x v="0"/>
    <n v="243.96"/>
    <s v="Store D"/>
    <x v="0"/>
    <n v="0.05"/>
    <x v="4"/>
    <n v="3244.6680000000001"/>
    <x v="0"/>
    <m/>
    <n v="1"/>
    <s v="REG100716"/>
    <x v="687"/>
    <n v="13.24"/>
    <x v="508"/>
    <d v="2023-10-04T00:00:00"/>
    <x v="0"/>
    <n v="3415.44"/>
    <n v="170.77200000000002"/>
    <n v="3244.6680000000001"/>
    <n v="4"/>
    <x v="519"/>
    <n v="0"/>
  </r>
  <r>
    <d v="2024-10-08T00:00:00"/>
    <x v="1"/>
    <x v="0"/>
    <x v="16"/>
    <n v="48.48"/>
    <s v="Store D"/>
    <x v="1"/>
    <n v="0.1"/>
    <x v="4"/>
    <n v="261.79199999999997"/>
    <x v="0"/>
    <m/>
    <n v="0"/>
    <s v="REG100717"/>
    <x v="688"/>
    <n v="6.11"/>
    <x v="485"/>
    <d v="2024-10-13T00:00:00"/>
    <x v="1"/>
    <n v="290.88"/>
    <n v="29.088000000000001"/>
    <n v="261.79199999999997"/>
    <n v="5"/>
    <x v="520"/>
    <n v="0"/>
  </r>
  <r>
    <d v="2023-04-14T00:00:00"/>
    <x v="0"/>
    <x v="0"/>
    <x v="11"/>
    <n v="87.47"/>
    <s v="Store B"/>
    <x v="1"/>
    <n v="0"/>
    <x v="3"/>
    <n v="1749.4"/>
    <x v="0"/>
    <s v="WINTER15"/>
    <n v="0"/>
    <s v="REG100718"/>
    <x v="689"/>
    <n v="48.48"/>
    <x v="271"/>
    <d v="2023-04-23T00:00:00"/>
    <x v="0"/>
    <n v="1749.4"/>
    <n v="0"/>
    <n v="1749.4"/>
    <n v="9"/>
    <x v="0"/>
    <n v="0"/>
  </r>
  <r>
    <d v="2023-03-05T00:00:00"/>
    <x v="1"/>
    <x v="4"/>
    <x v="9"/>
    <n v="465.6"/>
    <s v="Store C"/>
    <x v="1"/>
    <n v="0.1"/>
    <x v="5"/>
    <n v="7123.6800000000012"/>
    <x v="3"/>
    <s v="SAVE10"/>
    <n v="0"/>
    <s v="REG100719"/>
    <x v="690"/>
    <n v="7.76"/>
    <x v="509"/>
    <d v="2023-03-10T00:00:00"/>
    <x v="1"/>
    <n v="7915.2000000000007"/>
    <n v="791.5200000000001"/>
    <n v="7123.68"/>
    <n v="5"/>
    <x v="521"/>
    <n v="0"/>
  </r>
  <r>
    <d v="2024-07-17T00:00:00"/>
    <x v="2"/>
    <x v="2"/>
    <x v="9"/>
    <n v="279.38"/>
    <s v="Store B"/>
    <x v="0"/>
    <n v="0.05"/>
    <x v="2"/>
    <n v="4511.9870000000001"/>
    <x v="2"/>
    <s v="WINTER15"/>
    <n v="0"/>
    <s v="REG100720"/>
    <x v="691"/>
    <n v="30.3"/>
    <x v="414"/>
    <d v="2024-07-20T00:00:00"/>
    <x v="2"/>
    <n v="4749.46"/>
    <n v="237.47300000000001"/>
    <n v="4511.9870000000001"/>
    <n v="3"/>
    <x v="522"/>
    <n v="0"/>
  </r>
  <r>
    <d v="2024-05-20T00:00:00"/>
    <x v="2"/>
    <x v="5"/>
    <x v="18"/>
    <n v="427.68"/>
    <s v="Store A"/>
    <x v="1"/>
    <n v="0.1"/>
    <x v="3"/>
    <n v="6158.5920000000006"/>
    <x v="3"/>
    <m/>
    <n v="0"/>
    <s v="REG100721"/>
    <x v="692"/>
    <n v="18.72"/>
    <x v="510"/>
    <d v="2024-05-29T00:00:00"/>
    <x v="2"/>
    <n v="6842.88"/>
    <n v="684.28800000000001"/>
    <n v="6158.5920000000006"/>
    <n v="9"/>
    <x v="523"/>
    <n v="0"/>
  </r>
  <r>
    <d v="2025-05-06T00:00:00"/>
    <x v="2"/>
    <x v="0"/>
    <x v="7"/>
    <n v="281.73"/>
    <s v="Store B"/>
    <x v="0"/>
    <n v="0.1"/>
    <x v="5"/>
    <n v="3803.3550000000009"/>
    <x v="2"/>
    <s v="WINTER15"/>
    <n v="0"/>
    <s v="REG100722"/>
    <x v="693"/>
    <n v="36.869999999999997"/>
    <x v="276"/>
    <d v="2025-05-10T00:00:00"/>
    <x v="2"/>
    <n v="4225.9500000000007"/>
    <n v="422.59500000000008"/>
    <n v="3803.3550000000005"/>
    <n v="4"/>
    <x v="524"/>
    <n v="0"/>
  </r>
  <r>
    <d v="2023-01-15T00:00:00"/>
    <x v="2"/>
    <x v="2"/>
    <x v="7"/>
    <n v="185"/>
    <s v="Store B"/>
    <x v="0"/>
    <n v="0"/>
    <x v="1"/>
    <n v="2775"/>
    <x v="4"/>
    <s v="FREESHIP"/>
    <n v="0"/>
    <s v="REG100723"/>
    <x v="694"/>
    <n v="29.31"/>
    <x v="511"/>
    <d v="2023-01-17T00:00:00"/>
    <x v="2"/>
    <n v="2775"/>
    <n v="0"/>
    <n v="2775"/>
    <n v="2"/>
    <x v="0"/>
    <n v="0"/>
  </r>
  <r>
    <d v="2024-01-09T00:00:00"/>
    <x v="3"/>
    <x v="4"/>
    <x v="8"/>
    <n v="380.82"/>
    <s v="Store D"/>
    <x v="0"/>
    <n v="0.1"/>
    <x v="4"/>
    <n v="6512.0219999999999"/>
    <x v="2"/>
    <s v="SAVE10"/>
    <n v="0"/>
    <s v="REG100724"/>
    <x v="695"/>
    <n v="48.73"/>
    <x v="46"/>
    <d v="2024-01-12T00:00:00"/>
    <x v="3"/>
    <n v="7235.58"/>
    <n v="723.55799999999999"/>
    <n v="6512.0219999999999"/>
    <n v="3"/>
    <x v="525"/>
    <n v="0"/>
  </r>
  <r>
    <d v="2023-07-12T00:00:00"/>
    <x v="1"/>
    <x v="3"/>
    <x v="15"/>
    <n v="444.87"/>
    <s v="Store B"/>
    <x v="1"/>
    <n v="0.15"/>
    <x v="3"/>
    <n v="1512.558"/>
    <x v="0"/>
    <s v="FREESHIP"/>
    <n v="0"/>
    <s v="REG100725"/>
    <x v="696"/>
    <n v="47.14"/>
    <x v="512"/>
    <d v="2023-07-21T00:00:00"/>
    <x v="1"/>
    <n v="1779.48"/>
    <n v="266.92199999999997"/>
    <n v="1512.558"/>
    <n v="9"/>
    <x v="526"/>
    <n v="0"/>
  </r>
  <r>
    <d v="2025-06-21T00:00:00"/>
    <x v="0"/>
    <x v="3"/>
    <x v="4"/>
    <n v="590.79"/>
    <s v="Store B"/>
    <x v="1"/>
    <n v="0.05"/>
    <x v="0"/>
    <n v="3928.7534999999989"/>
    <x v="4"/>
    <s v="FREESHIP"/>
    <n v="1"/>
    <s v="REG100726"/>
    <x v="697"/>
    <n v="41.39"/>
    <x v="513"/>
    <d v="2025-06-26T00:00:00"/>
    <x v="0"/>
    <n v="4135.53"/>
    <n v="206.7765"/>
    <n v="3928.7534999999998"/>
    <n v="5"/>
    <x v="527"/>
    <n v="0"/>
  </r>
  <r>
    <d v="2024-12-29T00:00:00"/>
    <x v="2"/>
    <x v="6"/>
    <x v="6"/>
    <n v="34.58"/>
    <s v="Store A"/>
    <x v="1"/>
    <n v="0.1"/>
    <x v="2"/>
    <n v="155.61000000000001"/>
    <x v="1"/>
    <s v="WINTER15"/>
    <n v="0"/>
    <s v="REG100727"/>
    <x v="698"/>
    <n v="27.1"/>
    <x v="514"/>
    <d v="2025-01-02T00:00:00"/>
    <x v="2"/>
    <n v="172.89999999999998"/>
    <n v="17.29"/>
    <n v="155.60999999999999"/>
    <n v="4"/>
    <x v="528"/>
    <n v="0"/>
  </r>
  <r>
    <d v="2023-05-23T00:00:00"/>
    <x v="4"/>
    <x v="5"/>
    <x v="17"/>
    <n v="438.22"/>
    <s v="Store D"/>
    <x v="1"/>
    <n v="0.05"/>
    <x v="5"/>
    <n v="3746.7809999999999"/>
    <x v="4"/>
    <m/>
    <n v="0"/>
    <s v="REG100728"/>
    <x v="699"/>
    <n v="22.73"/>
    <x v="515"/>
    <d v="2023-05-29T00:00:00"/>
    <x v="4"/>
    <n v="3943.9800000000005"/>
    <n v="197.19900000000004"/>
    <n v="3746.7810000000004"/>
    <n v="6"/>
    <x v="529"/>
    <n v="0"/>
  </r>
  <r>
    <d v="2024-04-03T00:00:00"/>
    <x v="3"/>
    <x v="2"/>
    <x v="6"/>
    <n v="84.91"/>
    <s v="Store A"/>
    <x v="1"/>
    <n v="0.1"/>
    <x v="3"/>
    <n v="382.09500000000003"/>
    <x v="4"/>
    <s v="FREESHIP"/>
    <n v="1"/>
    <s v="REG100729"/>
    <x v="700"/>
    <n v="29.06"/>
    <x v="516"/>
    <d v="2024-04-09T00:00:00"/>
    <x v="3"/>
    <n v="424.54999999999995"/>
    <n v="42.454999999999998"/>
    <n v="382.09499999999997"/>
    <n v="6"/>
    <x v="530"/>
    <n v="0"/>
  </r>
  <r>
    <d v="2024-01-17T00:00:00"/>
    <x v="0"/>
    <x v="0"/>
    <x v="4"/>
    <n v="322.11"/>
    <s v="Store C"/>
    <x v="0"/>
    <n v="0.1"/>
    <x v="4"/>
    <n v="2029.2929999999999"/>
    <x v="3"/>
    <s v="SAVE10"/>
    <n v="0"/>
    <s v="REG100730"/>
    <x v="701"/>
    <n v="19.91"/>
    <x v="517"/>
    <d v="2024-01-27T00:00:00"/>
    <x v="0"/>
    <n v="2254.77"/>
    <n v="225.477"/>
    <n v="2029.2929999999999"/>
    <n v="10"/>
    <x v="531"/>
    <n v="0"/>
  </r>
  <r>
    <d v="2025-04-05T00:00:00"/>
    <x v="3"/>
    <x v="4"/>
    <x v="3"/>
    <n v="231.96"/>
    <s v="Store B"/>
    <x v="1"/>
    <n v="0.1"/>
    <x v="1"/>
    <n v="417.52800000000002"/>
    <x v="3"/>
    <m/>
    <n v="1"/>
    <s v="REG100731"/>
    <x v="702"/>
    <n v="32.659999999999997"/>
    <x v="518"/>
    <d v="2025-04-14T00:00:00"/>
    <x v="3"/>
    <n v="463.92"/>
    <n v="46.392000000000003"/>
    <n v="417.52800000000002"/>
    <n v="9"/>
    <x v="532"/>
    <n v="0"/>
  </r>
  <r>
    <d v="2025-04-17T00:00:00"/>
    <x v="3"/>
    <x v="3"/>
    <x v="7"/>
    <n v="242.07"/>
    <s v="Store A"/>
    <x v="0"/>
    <n v="0.15"/>
    <x v="5"/>
    <n v="3086.392499999999"/>
    <x v="2"/>
    <m/>
    <n v="0"/>
    <s v="REG100732"/>
    <x v="703"/>
    <n v="19.18"/>
    <x v="313"/>
    <d v="2025-04-23T00:00:00"/>
    <x v="3"/>
    <n v="3631.0499999999997"/>
    <n v="544.65749999999991"/>
    <n v="3086.3924999999999"/>
    <n v="6"/>
    <x v="533"/>
    <n v="0"/>
  </r>
  <r>
    <d v="2024-10-12T00:00:00"/>
    <x v="3"/>
    <x v="0"/>
    <x v="3"/>
    <n v="48.02"/>
    <s v="Store C"/>
    <x v="1"/>
    <n v="0.05"/>
    <x v="3"/>
    <n v="91.238"/>
    <x v="3"/>
    <s v="FREESHIP"/>
    <n v="1"/>
    <s v="REG100733"/>
    <x v="704"/>
    <n v="25.81"/>
    <x v="519"/>
    <d v="2024-10-15T00:00:00"/>
    <x v="3"/>
    <n v="96.04"/>
    <n v="4.8020000000000005"/>
    <n v="91.238"/>
    <n v="3"/>
    <x v="534"/>
    <n v="0"/>
  </r>
  <r>
    <d v="2024-07-27T00:00:00"/>
    <x v="3"/>
    <x v="3"/>
    <x v="1"/>
    <n v="534.28"/>
    <s v="Store D"/>
    <x v="0"/>
    <n v="0.1"/>
    <x v="0"/>
    <n v="480.85199999999998"/>
    <x v="0"/>
    <s v="FREESHIP"/>
    <n v="0"/>
    <s v="REG100734"/>
    <x v="705"/>
    <n v="31.3"/>
    <x v="480"/>
    <d v="2024-08-01T00:00:00"/>
    <x v="3"/>
    <n v="534.28"/>
    <n v="53.427999999999997"/>
    <n v="480.85199999999998"/>
    <n v="5"/>
    <x v="535"/>
    <n v="0"/>
  </r>
  <r>
    <d v="2025-01-10T00:00:00"/>
    <x v="4"/>
    <x v="5"/>
    <x v="5"/>
    <n v="98.15"/>
    <s v="Store D"/>
    <x v="0"/>
    <n v="0.15"/>
    <x v="4"/>
    <n v="250.2825"/>
    <x v="3"/>
    <s v="SAVE10"/>
    <n v="0"/>
    <s v="REG100735"/>
    <x v="706"/>
    <n v="46.37"/>
    <x v="520"/>
    <d v="2025-01-18T00:00:00"/>
    <x v="4"/>
    <n v="294.45000000000005"/>
    <n v="44.167500000000004"/>
    <n v="250.28250000000003"/>
    <n v="8"/>
    <x v="536"/>
    <n v="0"/>
  </r>
  <r>
    <d v="2024-07-25T00:00:00"/>
    <x v="1"/>
    <x v="3"/>
    <x v="13"/>
    <n v="61.85"/>
    <s v="Store D"/>
    <x v="0"/>
    <n v="0.05"/>
    <x v="1"/>
    <n v="705.09"/>
    <x v="2"/>
    <m/>
    <n v="1"/>
    <s v="REG100736"/>
    <x v="707"/>
    <n v="24.34"/>
    <x v="245"/>
    <d v="2024-07-31T00:00:00"/>
    <x v="1"/>
    <n v="742.2"/>
    <n v="37.110000000000007"/>
    <n v="705.09"/>
    <n v="6"/>
    <x v="537"/>
    <n v="0"/>
  </r>
  <r>
    <d v="2024-05-22T00:00:00"/>
    <x v="4"/>
    <x v="5"/>
    <x v="16"/>
    <n v="268.33999999999997"/>
    <s v="Store A"/>
    <x v="0"/>
    <n v="0.1"/>
    <x v="4"/>
    <n v="1449.0360000000001"/>
    <x v="3"/>
    <s v="WINTER15"/>
    <n v="1"/>
    <s v="REG100737"/>
    <x v="708"/>
    <n v="35.69"/>
    <x v="521"/>
    <d v="2024-05-25T00:00:00"/>
    <x v="4"/>
    <n v="1610.04"/>
    <n v="161.00400000000002"/>
    <n v="1449.0360000000001"/>
    <n v="3"/>
    <x v="538"/>
    <n v="0"/>
  </r>
  <r>
    <d v="2024-08-10T00:00:00"/>
    <x v="3"/>
    <x v="2"/>
    <x v="15"/>
    <n v="529.03"/>
    <s v="Store B"/>
    <x v="0"/>
    <n v="0.05"/>
    <x v="3"/>
    <n v="2010.3140000000001"/>
    <x v="0"/>
    <s v="SAVE10"/>
    <n v="0"/>
    <s v="REG100738"/>
    <x v="709"/>
    <n v="25.96"/>
    <x v="218"/>
    <d v="2024-08-20T00:00:00"/>
    <x v="3"/>
    <n v="2116.12"/>
    <n v="105.806"/>
    <n v="2010.3139999999999"/>
    <n v="10"/>
    <x v="539"/>
    <n v="0"/>
  </r>
  <r>
    <d v="2023-04-27T00:00:00"/>
    <x v="4"/>
    <x v="5"/>
    <x v="3"/>
    <n v="107.32"/>
    <s v="Store B"/>
    <x v="1"/>
    <n v="0.05"/>
    <x v="1"/>
    <n v="203.90799999999999"/>
    <x v="2"/>
    <m/>
    <n v="0"/>
    <s v="REG100739"/>
    <x v="710"/>
    <n v="47.33"/>
    <x v="178"/>
    <d v="2023-04-29T00:00:00"/>
    <x v="4"/>
    <n v="214.64"/>
    <n v="10.731999999999999"/>
    <n v="203.90799999999999"/>
    <n v="2"/>
    <x v="540"/>
    <n v="0"/>
  </r>
  <r>
    <d v="2023-06-21T00:00:00"/>
    <x v="1"/>
    <x v="5"/>
    <x v="1"/>
    <n v="500.96"/>
    <s v="Store C"/>
    <x v="0"/>
    <n v="0.05"/>
    <x v="2"/>
    <n v="475.91199999999998"/>
    <x v="0"/>
    <s v="WINTER15"/>
    <n v="0"/>
    <s v="REG100740"/>
    <x v="340"/>
    <n v="42.1"/>
    <x v="522"/>
    <d v="2023-06-25T00:00:00"/>
    <x v="1"/>
    <n v="500.96"/>
    <n v="25.048000000000002"/>
    <n v="475.91199999999998"/>
    <n v="4"/>
    <x v="541"/>
    <n v="0"/>
  </r>
  <r>
    <d v="2024-10-11T00:00:00"/>
    <x v="4"/>
    <x v="6"/>
    <x v="9"/>
    <n v="549.78"/>
    <s v="Store B"/>
    <x v="0"/>
    <n v="0.05"/>
    <x v="1"/>
    <n v="8878.9470000000001"/>
    <x v="2"/>
    <m/>
    <n v="1"/>
    <s v="REG100741"/>
    <x v="711"/>
    <n v="44.42"/>
    <x v="395"/>
    <d v="2024-10-14T00:00:00"/>
    <x v="4"/>
    <n v="9346.26"/>
    <n v="467.31300000000005"/>
    <n v="8878.9470000000001"/>
    <n v="3"/>
    <x v="542"/>
    <n v="0"/>
  </r>
  <r>
    <d v="2025-01-26T00:00:00"/>
    <x v="2"/>
    <x v="0"/>
    <x v="5"/>
    <n v="58.51"/>
    <s v="Store A"/>
    <x v="1"/>
    <n v="0.05"/>
    <x v="3"/>
    <n v="166.7535"/>
    <x v="4"/>
    <s v="WINTER15"/>
    <n v="0"/>
    <s v="REG100742"/>
    <x v="712"/>
    <n v="23.57"/>
    <x v="523"/>
    <d v="2025-01-30T00:00:00"/>
    <x v="2"/>
    <n v="175.53"/>
    <n v="8.7765000000000004"/>
    <n v="166.7535"/>
    <n v="4"/>
    <x v="543"/>
    <n v="0"/>
  </r>
  <r>
    <d v="2024-06-18T00:00:00"/>
    <x v="1"/>
    <x v="3"/>
    <x v="9"/>
    <n v="504.08"/>
    <s v="Store A"/>
    <x v="0"/>
    <n v="0.1"/>
    <x v="4"/>
    <n v="7712.4240000000009"/>
    <x v="0"/>
    <s v="SAVE10"/>
    <n v="0"/>
    <s v="REG100743"/>
    <x v="713"/>
    <n v="26.47"/>
    <x v="524"/>
    <d v="2024-06-26T00:00:00"/>
    <x v="1"/>
    <n v="8569.36"/>
    <n v="856.93600000000015"/>
    <n v="7712.4240000000009"/>
    <n v="8"/>
    <x v="544"/>
    <n v="0"/>
  </r>
  <r>
    <d v="2025-06-18T00:00:00"/>
    <x v="0"/>
    <x v="4"/>
    <x v="9"/>
    <n v="419.63"/>
    <s v="Store D"/>
    <x v="0"/>
    <n v="0"/>
    <x v="1"/>
    <n v="7133.71"/>
    <x v="4"/>
    <s v="SAVE10"/>
    <n v="0"/>
    <s v="REG100744"/>
    <x v="714"/>
    <n v="17.399999999999999"/>
    <x v="324"/>
    <d v="2025-06-24T00:00:00"/>
    <x v="0"/>
    <n v="7133.71"/>
    <n v="0"/>
    <n v="7133.71"/>
    <n v="6"/>
    <x v="0"/>
    <n v="0"/>
  </r>
  <r>
    <d v="2024-10-29T00:00:00"/>
    <x v="1"/>
    <x v="0"/>
    <x v="3"/>
    <n v="267.36"/>
    <s v="Store B"/>
    <x v="0"/>
    <n v="0.05"/>
    <x v="2"/>
    <n v="507.98399999999998"/>
    <x v="0"/>
    <m/>
    <n v="0"/>
    <s v="REG100745"/>
    <x v="715"/>
    <n v="21.36"/>
    <x v="525"/>
    <d v="2024-11-07T00:00:00"/>
    <x v="1"/>
    <n v="534.72"/>
    <n v="26.736000000000004"/>
    <n v="507.98400000000004"/>
    <n v="9"/>
    <x v="545"/>
    <n v="0"/>
  </r>
  <r>
    <d v="2025-04-08T00:00:00"/>
    <x v="3"/>
    <x v="1"/>
    <x v="3"/>
    <n v="298.06"/>
    <s v="Store B"/>
    <x v="0"/>
    <n v="0"/>
    <x v="1"/>
    <n v="596.12"/>
    <x v="3"/>
    <s v="SAVE10"/>
    <n v="1"/>
    <s v="REG100746"/>
    <x v="716"/>
    <n v="35.369999999999997"/>
    <x v="409"/>
    <d v="2025-04-14T00:00:00"/>
    <x v="3"/>
    <n v="596.12"/>
    <n v="0"/>
    <n v="596.12"/>
    <n v="6"/>
    <x v="0"/>
    <n v="0"/>
  </r>
  <r>
    <d v="2023-01-31T00:00:00"/>
    <x v="3"/>
    <x v="5"/>
    <x v="14"/>
    <n v="132.97"/>
    <s v="Store B"/>
    <x v="0"/>
    <n v="0.05"/>
    <x v="2"/>
    <n v="1642.1795"/>
    <x v="3"/>
    <s v="WINTER15"/>
    <n v="0"/>
    <s v="REG100747"/>
    <x v="717"/>
    <n v="42.87"/>
    <x v="526"/>
    <d v="2023-02-05T00:00:00"/>
    <x v="3"/>
    <n v="1728.61"/>
    <n v="86.430499999999995"/>
    <n v="1642.1795"/>
    <n v="5"/>
    <x v="546"/>
    <n v="0"/>
  </r>
  <r>
    <d v="2024-03-15T00:00:00"/>
    <x v="4"/>
    <x v="3"/>
    <x v="0"/>
    <n v="476.28"/>
    <s v="Store A"/>
    <x v="0"/>
    <n v="0.1"/>
    <x v="0"/>
    <n v="6001.1280000000006"/>
    <x v="2"/>
    <s v="FREESHIP"/>
    <n v="0"/>
    <s v="REG100748"/>
    <x v="718"/>
    <n v="22.11"/>
    <x v="107"/>
    <d v="2024-03-20T00:00:00"/>
    <x v="4"/>
    <n v="6667.92"/>
    <n v="666.79200000000003"/>
    <n v="6001.1279999999997"/>
    <n v="5"/>
    <x v="547"/>
    <n v="0"/>
  </r>
  <r>
    <d v="2023-06-23T00:00:00"/>
    <x v="2"/>
    <x v="5"/>
    <x v="18"/>
    <n v="294.88"/>
    <s v="Store B"/>
    <x v="1"/>
    <n v="0.05"/>
    <x v="2"/>
    <n v="4482.1759999999986"/>
    <x v="4"/>
    <m/>
    <n v="1"/>
    <s v="REG100749"/>
    <x v="538"/>
    <n v="17.190000000000001"/>
    <x v="366"/>
    <d v="2023-06-27T00:00:00"/>
    <x v="2"/>
    <n v="4718.08"/>
    <n v="235.904"/>
    <n v="4482.1759999999995"/>
    <n v="4"/>
    <x v="548"/>
    <n v="0"/>
  </r>
  <r>
    <d v="2024-06-14T00:00:00"/>
    <x v="2"/>
    <x v="4"/>
    <x v="8"/>
    <n v="596.03"/>
    <s v="Store C"/>
    <x v="1"/>
    <n v="0.15"/>
    <x v="0"/>
    <n v="9625.8845000000001"/>
    <x v="3"/>
    <m/>
    <n v="0"/>
    <s v="REG100750"/>
    <x v="719"/>
    <n v="31.95"/>
    <x v="392"/>
    <d v="2024-06-23T00:00:00"/>
    <x v="2"/>
    <n v="11324.57"/>
    <n v="1698.6854999999998"/>
    <n v="9625.8845000000001"/>
    <n v="9"/>
    <x v="549"/>
    <n v="0"/>
  </r>
  <r>
    <d v="2023-11-30T00:00:00"/>
    <x v="4"/>
    <x v="2"/>
    <x v="16"/>
    <n v="182.4"/>
    <s v="Store B"/>
    <x v="0"/>
    <n v="0"/>
    <x v="1"/>
    <n v="1094.4000000000001"/>
    <x v="0"/>
    <s v="FREESHIP"/>
    <n v="1"/>
    <s v="REG100751"/>
    <x v="720"/>
    <n v="49.49"/>
    <x v="18"/>
    <d v="2023-12-09T00:00:00"/>
    <x v="4"/>
    <n v="1094.4000000000001"/>
    <n v="0"/>
    <n v="1094.4000000000001"/>
    <n v="9"/>
    <x v="0"/>
    <n v="0"/>
  </r>
  <r>
    <d v="2024-04-21T00:00:00"/>
    <x v="2"/>
    <x v="0"/>
    <x v="12"/>
    <n v="400.95"/>
    <s v="Store C"/>
    <x v="1"/>
    <n v="0.05"/>
    <x v="3"/>
    <n v="3809.0250000000001"/>
    <x v="0"/>
    <m/>
    <n v="0"/>
    <s v="REG100752"/>
    <x v="721"/>
    <n v="17.46"/>
    <x v="93"/>
    <d v="2024-04-30T00:00:00"/>
    <x v="2"/>
    <n v="4009.5"/>
    <n v="200.47500000000002"/>
    <n v="3809.0250000000001"/>
    <n v="9"/>
    <x v="550"/>
    <n v="0"/>
  </r>
  <r>
    <d v="2023-08-06T00:00:00"/>
    <x v="0"/>
    <x v="2"/>
    <x v="4"/>
    <n v="373.66"/>
    <s v="Store B"/>
    <x v="1"/>
    <n v="0.05"/>
    <x v="1"/>
    <n v="2484.8389999999999"/>
    <x v="1"/>
    <s v="SAVE10"/>
    <n v="0"/>
    <s v="REG100753"/>
    <x v="722"/>
    <n v="46.33"/>
    <x v="23"/>
    <d v="2023-08-12T00:00:00"/>
    <x v="0"/>
    <n v="2615.6200000000003"/>
    <n v="130.78100000000003"/>
    <n v="2484.8390000000004"/>
    <n v="6"/>
    <x v="551"/>
    <n v="0"/>
  </r>
  <r>
    <d v="2024-06-21T00:00:00"/>
    <x v="4"/>
    <x v="2"/>
    <x v="4"/>
    <n v="355.66"/>
    <s v="Store C"/>
    <x v="1"/>
    <n v="0.15"/>
    <x v="3"/>
    <n v="2116.1770000000001"/>
    <x v="1"/>
    <s v="FREESHIP"/>
    <n v="1"/>
    <s v="REG100754"/>
    <x v="723"/>
    <n v="28.77"/>
    <x v="378"/>
    <d v="2024-06-27T00:00:00"/>
    <x v="4"/>
    <n v="2489.6200000000003"/>
    <n v="373.44300000000004"/>
    <n v="2116.1770000000001"/>
    <n v="6"/>
    <x v="552"/>
    <n v="0"/>
  </r>
  <r>
    <d v="2025-03-16T00:00:00"/>
    <x v="2"/>
    <x v="5"/>
    <x v="13"/>
    <n v="260.31"/>
    <s v="Store C"/>
    <x v="1"/>
    <n v="0.1"/>
    <x v="5"/>
    <n v="2811.348"/>
    <x v="4"/>
    <s v="SAVE10"/>
    <n v="0"/>
    <s v="REG100755"/>
    <x v="724"/>
    <n v="14.58"/>
    <x v="527"/>
    <d v="2025-03-24T00:00:00"/>
    <x v="2"/>
    <n v="3123.7200000000003"/>
    <n v="312.37200000000007"/>
    <n v="2811.348"/>
    <n v="8"/>
    <x v="553"/>
    <n v="0"/>
  </r>
  <r>
    <d v="2024-04-20T00:00:00"/>
    <x v="4"/>
    <x v="5"/>
    <x v="12"/>
    <n v="370.99"/>
    <s v="Store B"/>
    <x v="1"/>
    <n v="0.15"/>
    <x v="2"/>
    <n v="3153.415"/>
    <x v="0"/>
    <s v="SAVE10"/>
    <n v="1"/>
    <s v="REG100756"/>
    <x v="725"/>
    <n v="11.16"/>
    <x v="528"/>
    <d v="2024-04-25T00:00:00"/>
    <x v="4"/>
    <n v="3709.9"/>
    <n v="556.48500000000001"/>
    <n v="3153.415"/>
    <n v="5"/>
    <x v="554"/>
    <n v="0"/>
  </r>
  <r>
    <d v="2024-12-20T00:00:00"/>
    <x v="0"/>
    <x v="0"/>
    <x v="3"/>
    <n v="548.72"/>
    <s v="Store A"/>
    <x v="0"/>
    <n v="0.1"/>
    <x v="2"/>
    <n v="987.69600000000003"/>
    <x v="2"/>
    <s v="FREESHIP"/>
    <n v="1"/>
    <s v="REG100757"/>
    <x v="726"/>
    <n v="26.35"/>
    <x v="529"/>
    <d v="2024-12-29T00:00:00"/>
    <x v="0"/>
    <n v="1097.44"/>
    <n v="109.74400000000001"/>
    <n v="987.69600000000003"/>
    <n v="9"/>
    <x v="555"/>
    <n v="0"/>
  </r>
  <r>
    <d v="2023-08-22T00:00:00"/>
    <x v="2"/>
    <x v="6"/>
    <x v="19"/>
    <n v="343.53"/>
    <s v="Store A"/>
    <x v="0"/>
    <n v="0"/>
    <x v="2"/>
    <n v="2748.24"/>
    <x v="4"/>
    <m/>
    <n v="0"/>
    <s v="REG100758"/>
    <x v="727"/>
    <n v="16.100000000000001"/>
    <x v="530"/>
    <d v="2023-09-01T00:00:00"/>
    <x v="2"/>
    <n v="2748.24"/>
    <n v="0"/>
    <n v="2748.24"/>
    <n v="10"/>
    <x v="0"/>
    <n v="0"/>
  </r>
  <r>
    <d v="2023-03-04T00:00:00"/>
    <x v="2"/>
    <x v="5"/>
    <x v="14"/>
    <n v="494.78"/>
    <s v="Store A"/>
    <x v="0"/>
    <n v="0.15"/>
    <x v="4"/>
    <n v="5467.3190000000004"/>
    <x v="4"/>
    <s v="FREESHIP"/>
    <n v="0"/>
    <s v="REG100759"/>
    <x v="728"/>
    <n v="5.85"/>
    <x v="332"/>
    <d v="2023-03-13T00:00:00"/>
    <x v="2"/>
    <n v="6432.1399999999994"/>
    <n v="964.82099999999991"/>
    <n v="5467.3189999999995"/>
    <n v="9"/>
    <x v="556"/>
    <n v="0"/>
  </r>
  <r>
    <d v="2024-06-24T00:00:00"/>
    <x v="2"/>
    <x v="0"/>
    <x v="17"/>
    <n v="36.619999999999997"/>
    <s v="Store B"/>
    <x v="0"/>
    <n v="0.1"/>
    <x v="0"/>
    <n v="296.62200000000001"/>
    <x v="3"/>
    <s v="FREESHIP"/>
    <n v="1"/>
    <s v="REG100760"/>
    <x v="729"/>
    <n v="29.9"/>
    <x v="503"/>
    <d v="2024-07-01T00:00:00"/>
    <x v="2"/>
    <n v="329.58"/>
    <n v="32.957999999999998"/>
    <n v="296.62199999999996"/>
    <n v="7"/>
    <x v="557"/>
    <n v="0"/>
  </r>
  <r>
    <d v="2024-12-09T00:00:00"/>
    <x v="0"/>
    <x v="5"/>
    <x v="0"/>
    <n v="216.2"/>
    <s v="Store C"/>
    <x v="0"/>
    <n v="0"/>
    <x v="4"/>
    <n v="3026.8"/>
    <x v="0"/>
    <s v="WINTER15"/>
    <n v="0"/>
    <s v="REG100761"/>
    <x v="730"/>
    <n v="14.39"/>
    <x v="531"/>
    <d v="2024-12-13T00:00:00"/>
    <x v="0"/>
    <n v="3026.7999999999997"/>
    <n v="0"/>
    <n v="3026.7999999999997"/>
    <n v="4"/>
    <x v="0"/>
    <n v="0"/>
  </r>
  <r>
    <d v="2024-07-04T00:00:00"/>
    <x v="4"/>
    <x v="0"/>
    <x v="10"/>
    <n v="128.99"/>
    <s v="Store A"/>
    <x v="1"/>
    <n v="0.05"/>
    <x v="4"/>
    <n v="1347.9455"/>
    <x v="3"/>
    <s v="SAVE10"/>
    <n v="0"/>
    <s v="REG100762"/>
    <x v="350"/>
    <n v="38.58"/>
    <x v="532"/>
    <d v="2024-07-07T00:00:00"/>
    <x v="4"/>
    <n v="1418.89"/>
    <n v="70.944500000000005"/>
    <n v="1347.9455"/>
    <n v="3"/>
    <x v="558"/>
    <n v="0"/>
  </r>
  <r>
    <d v="2025-03-04T00:00:00"/>
    <x v="0"/>
    <x v="1"/>
    <x v="10"/>
    <n v="183.11"/>
    <s v="Store B"/>
    <x v="1"/>
    <n v="0.15"/>
    <x v="2"/>
    <n v="1712.0785000000001"/>
    <x v="1"/>
    <s v="FREESHIP"/>
    <n v="0"/>
    <s v="REG100763"/>
    <x v="731"/>
    <n v="41.83"/>
    <x v="155"/>
    <d v="2025-03-06T00:00:00"/>
    <x v="0"/>
    <n v="2014.21"/>
    <n v="302.13150000000002"/>
    <n v="1712.0785000000001"/>
    <n v="2"/>
    <x v="559"/>
    <n v="0"/>
  </r>
  <r>
    <d v="2024-01-22T00:00:00"/>
    <x v="0"/>
    <x v="6"/>
    <x v="10"/>
    <n v="277.95"/>
    <s v="Store A"/>
    <x v="1"/>
    <n v="0.05"/>
    <x v="2"/>
    <n v="2904.5774999999999"/>
    <x v="1"/>
    <s v="WINTER15"/>
    <n v="0"/>
    <s v="REG100764"/>
    <x v="732"/>
    <n v="44.04"/>
    <x v="115"/>
    <d v="2024-01-29T00:00:00"/>
    <x v="0"/>
    <n v="3057.45"/>
    <n v="152.8725"/>
    <n v="2904.5774999999999"/>
    <n v="7"/>
    <x v="560"/>
    <n v="0"/>
  </r>
  <r>
    <d v="2025-03-12T00:00:00"/>
    <x v="0"/>
    <x v="2"/>
    <x v="0"/>
    <n v="554.08000000000004"/>
    <s v="Store A"/>
    <x v="1"/>
    <n v="0.05"/>
    <x v="4"/>
    <n v="7369.2640000000001"/>
    <x v="4"/>
    <m/>
    <n v="0"/>
    <s v="REG100765"/>
    <x v="733"/>
    <n v="36.72"/>
    <x v="533"/>
    <d v="2025-03-21T00:00:00"/>
    <x v="0"/>
    <n v="7757.1200000000008"/>
    <n v="387.85600000000005"/>
    <n v="7369.264000000001"/>
    <n v="9"/>
    <x v="561"/>
    <n v="0"/>
  </r>
  <r>
    <d v="2025-02-28T00:00:00"/>
    <x v="3"/>
    <x v="1"/>
    <x v="7"/>
    <n v="23.32"/>
    <s v="Store A"/>
    <x v="1"/>
    <n v="0.05"/>
    <x v="3"/>
    <n v="332.31"/>
    <x v="3"/>
    <m/>
    <n v="0"/>
    <s v="REG100766"/>
    <x v="734"/>
    <n v="25.27"/>
    <x v="376"/>
    <d v="2025-03-03T00:00:00"/>
    <x v="3"/>
    <n v="349.8"/>
    <n v="17.490000000000002"/>
    <n v="332.31"/>
    <n v="3"/>
    <x v="562"/>
    <n v="0"/>
  </r>
  <r>
    <d v="2024-05-23T00:00:00"/>
    <x v="0"/>
    <x v="2"/>
    <x v="15"/>
    <n v="20.96"/>
    <s v="Store D"/>
    <x v="0"/>
    <n v="0.05"/>
    <x v="5"/>
    <n v="79.647999999999996"/>
    <x v="0"/>
    <s v="FREESHIP"/>
    <n v="1"/>
    <s v="REG100767"/>
    <x v="735"/>
    <n v="33.67"/>
    <x v="24"/>
    <d v="2024-05-31T00:00:00"/>
    <x v="0"/>
    <n v="83.84"/>
    <n v="4.1920000000000002"/>
    <n v="79.647999999999996"/>
    <n v="8"/>
    <x v="563"/>
    <n v="0"/>
  </r>
  <r>
    <d v="2023-09-17T00:00:00"/>
    <x v="2"/>
    <x v="2"/>
    <x v="2"/>
    <n v="132.29"/>
    <s v="Store A"/>
    <x v="0"/>
    <n v="0.05"/>
    <x v="4"/>
    <n v="2262.1590000000001"/>
    <x v="2"/>
    <m/>
    <n v="1"/>
    <s v="REG100768"/>
    <x v="736"/>
    <n v="24.3"/>
    <x v="121"/>
    <d v="2023-09-20T00:00:00"/>
    <x v="2"/>
    <n v="2381.2199999999998"/>
    <n v="119.06099999999999"/>
    <n v="2262.1589999999997"/>
    <n v="3"/>
    <x v="564"/>
    <n v="0"/>
  </r>
  <r>
    <d v="2023-06-13T00:00:00"/>
    <x v="0"/>
    <x v="1"/>
    <x v="8"/>
    <n v="199.65"/>
    <s v="Store A"/>
    <x v="1"/>
    <n v="0.1"/>
    <x v="3"/>
    <n v="3414.0149999999999"/>
    <x v="4"/>
    <s v="SAVE10"/>
    <n v="1"/>
    <s v="REG100769"/>
    <x v="737"/>
    <n v="35.119999999999997"/>
    <x v="343"/>
    <d v="2023-06-18T00:00:00"/>
    <x v="0"/>
    <n v="3793.35"/>
    <n v="379.33500000000004"/>
    <n v="3414.0149999999999"/>
    <n v="5"/>
    <x v="565"/>
    <n v="0"/>
  </r>
  <r>
    <d v="2025-05-31T00:00:00"/>
    <x v="4"/>
    <x v="1"/>
    <x v="18"/>
    <n v="307"/>
    <s v="Store A"/>
    <x v="0"/>
    <n v="0"/>
    <x v="5"/>
    <n v="4912"/>
    <x v="3"/>
    <s v="FREESHIP"/>
    <n v="0"/>
    <s v="REG100770"/>
    <x v="738"/>
    <n v="11.99"/>
    <x v="534"/>
    <d v="2025-06-02T00:00:00"/>
    <x v="4"/>
    <n v="4912"/>
    <n v="0"/>
    <n v="4912"/>
    <n v="2"/>
    <x v="0"/>
    <n v="0"/>
  </r>
  <r>
    <d v="2023-10-11T00:00:00"/>
    <x v="0"/>
    <x v="5"/>
    <x v="1"/>
    <n v="315.93"/>
    <s v="Store C"/>
    <x v="1"/>
    <n v="0.15"/>
    <x v="1"/>
    <n v="268.54050000000001"/>
    <x v="2"/>
    <s v="SAVE10"/>
    <n v="0"/>
    <s v="REG100771"/>
    <x v="739"/>
    <n v="43.2"/>
    <x v="535"/>
    <d v="2023-10-14T00:00:00"/>
    <x v="0"/>
    <n v="315.93"/>
    <n v="47.389499999999998"/>
    <n v="268.54050000000001"/>
    <n v="3"/>
    <x v="566"/>
    <n v="0"/>
  </r>
  <r>
    <d v="2023-08-07T00:00:00"/>
    <x v="4"/>
    <x v="6"/>
    <x v="6"/>
    <n v="596.97"/>
    <s v="Store A"/>
    <x v="1"/>
    <n v="0"/>
    <x v="0"/>
    <n v="2984.85"/>
    <x v="4"/>
    <s v="SAVE10"/>
    <n v="0"/>
    <s v="REG100772"/>
    <x v="740"/>
    <n v="14.43"/>
    <x v="536"/>
    <d v="2023-08-14T00:00:00"/>
    <x v="4"/>
    <n v="2984.8500000000004"/>
    <n v="0"/>
    <n v="2984.8500000000004"/>
    <n v="7"/>
    <x v="0"/>
    <n v="0"/>
  </r>
  <r>
    <d v="2023-12-03T00:00:00"/>
    <x v="2"/>
    <x v="0"/>
    <x v="9"/>
    <n v="376.98"/>
    <s v="Store A"/>
    <x v="1"/>
    <n v="0.05"/>
    <x v="3"/>
    <n v="6088.2269999999999"/>
    <x v="3"/>
    <m/>
    <n v="1"/>
    <s v="REG100773"/>
    <x v="741"/>
    <n v="38.479999999999997"/>
    <x v="388"/>
    <d v="2023-12-05T00:00:00"/>
    <x v="2"/>
    <n v="6408.66"/>
    <n v="320.43299999999999"/>
    <n v="6088.2269999999999"/>
    <n v="2"/>
    <x v="567"/>
    <n v="0"/>
  </r>
  <r>
    <d v="2024-08-01T00:00:00"/>
    <x v="3"/>
    <x v="6"/>
    <x v="16"/>
    <n v="208.64"/>
    <s v="Store D"/>
    <x v="1"/>
    <n v="0.1"/>
    <x v="2"/>
    <n v="1126.6559999999999"/>
    <x v="2"/>
    <s v="FREESHIP"/>
    <n v="0"/>
    <s v="REG100774"/>
    <x v="742"/>
    <n v="49.93"/>
    <x v="537"/>
    <d v="2024-08-04T00:00:00"/>
    <x v="3"/>
    <n v="1251.8399999999999"/>
    <n v="125.184"/>
    <n v="1126.6559999999999"/>
    <n v="3"/>
    <x v="568"/>
    <n v="0"/>
  </r>
  <r>
    <d v="2023-03-20T00:00:00"/>
    <x v="0"/>
    <x v="3"/>
    <x v="4"/>
    <n v="307.82"/>
    <s v="Store B"/>
    <x v="0"/>
    <n v="0"/>
    <x v="0"/>
    <n v="2154.7399999999998"/>
    <x v="3"/>
    <s v="WINTER15"/>
    <n v="1"/>
    <s v="REG100775"/>
    <x v="743"/>
    <n v="14"/>
    <x v="538"/>
    <d v="2023-03-27T00:00:00"/>
    <x v="0"/>
    <n v="2154.7399999999998"/>
    <n v="0"/>
    <n v="2154.7399999999998"/>
    <n v="7"/>
    <x v="0"/>
    <n v="0"/>
  </r>
  <r>
    <d v="2025-06-30T00:00:00"/>
    <x v="3"/>
    <x v="5"/>
    <x v="14"/>
    <n v="382.48"/>
    <s v="Store D"/>
    <x v="1"/>
    <n v="0.05"/>
    <x v="0"/>
    <n v="4723.6279999999997"/>
    <x v="2"/>
    <s v="WINTER15"/>
    <n v="0"/>
    <s v="REG100776"/>
    <x v="744"/>
    <n v="7.59"/>
    <x v="148"/>
    <d v="2025-07-04T00:00:00"/>
    <x v="3"/>
    <n v="4972.24"/>
    <n v="248.61199999999999"/>
    <n v="4723.6279999999997"/>
    <n v="4"/>
    <x v="569"/>
    <n v="0"/>
  </r>
  <r>
    <d v="2025-02-05T00:00:00"/>
    <x v="1"/>
    <x v="2"/>
    <x v="17"/>
    <n v="188.03"/>
    <s v="Store B"/>
    <x v="1"/>
    <n v="0"/>
    <x v="2"/>
    <n v="1692.27"/>
    <x v="4"/>
    <s v="FREESHIP"/>
    <n v="0"/>
    <s v="REG100777"/>
    <x v="745"/>
    <n v="11.44"/>
    <x v="317"/>
    <d v="2025-02-07T00:00:00"/>
    <x v="1"/>
    <n v="1692.27"/>
    <n v="0"/>
    <n v="1692.27"/>
    <n v="2"/>
    <x v="0"/>
    <n v="0"/>
  </r>
  <r>
    <d v="2024-05-19T00:00:00"/>
    <x v="0"/>
    <x v="2"/>
    <x v="9"/>
    <n v="238.17"/>
    <s v="Store D"/>
    <x v="0"/>
    <n v="0.15"/>
    <x v="2"/>
    <n v="3441.5565000000001"/>
    <x v="4"/>
    <s v="FREESHIP"/>
    <n v="0"/>
    <s v="REG100778"/>
    <x v="746"/>
    <n v="21.64"/>
    <x v="539"/>
    <d v="2024-05-29T00:00:00"/>
    <x v="0"/>
    <n v="4048.89"/>
    <n v="607.33349999999996"/>
    <n v="3441.5564999999997"/>
    <n v="10"/>
    <x v="570"/>
    <n v="0"/>
  </r>
  <r>
    <d v="2023-03-04T00:00:00"/>
    <x v="2"/>
    <x v="6"/>
    <x v="12"/>
    <n v="450.71"/>
    <s v="Store B"/>
    <x v="1"/>
    <n v="0.1"/>
    <x v="5"/>
    <n v="4056.389999999999"/>
    <x v="1"/>
    <s v="SAVE10"/>
    <n v="0"/>
    <s v="REG100779"/>
    <x v="747"/>
    <n v="21.31"/>
    <x v="332"/>
    <d v="2023-03-12T00:00:00"/>
    <x v="2"/>
    <n v="4507.0999999999995"/>
    <n v="450.71"/>
    <n v="4056.3899999999994"/>
    <n v="8"/>
    <x v="571"/>
    <n v="0"/>
  </r>
  <r>
    <d v="2023-01-22T00:00:00"/>
    <x v="3"/>
    <x v="4"/>
    <x v="3"/>
    <n v="413.36"/>
    <s v="Store D"/>
    <x v="1"/>
    <n v="0.1"/>
    <x v="1"/>
    <n v="744.048"/>
    <x v="0"/>
    <s v="SAVE10"/>
    <n v="1"/>
    <s v="REG100780"/>
    <x v="438"/>
    <n v="41.69"/>
    <x v="229"/>
    <d v="2023-01-24T00:00:00"/>
    <x v="3"/>
    <n v="826.72"/>
    <n v="82.672000000000011"/>
    <n v="744.048"/>
    <n v="2"/>
    <x v="572"/>
    <n v="0"/>
  </r>
  <r>
    <d v="2023-03-20T00:00:00"/>
    <x v="1"/>
    <x v="1"/>
    <x v="11"/>
    <n v="536.71"/>
    <s v="Store B"/>
    <x v="1"/>
    <n v="0.15"/>
    <x v="3"/>
    <n v="9124.07"/>
    <x v="3"/>
    <s v="SAVE10"/>
    <n v="0"/>
    <s v="REG100781"/>
    <x v="748"/>
    <n v="41.42"/>
    <x v="538"/>
    <d v="2023-03-25T00:00:00"/>
    <x v="1"/>
    <n v="10734.2"/>
    <n v="1610.13"/>
    <n v="9124.07"/>
    <n v="5"/>
    <x v="573"/>
    <n v="0"/>
  </r>
  <r>
    <d v="2024-06-05T00:00:00"/>
    <x v="4"/>
    <x v="1"/>
    <x v="6"/>
    <n v="206.42"/>
    <s v="Store D"/>
    <x v="1"/>
    <n v="0.05"/>
    <x v="1"/>
    <n v="980.49499999999989"/>
    <x v="3"/>
    <s v="WINTER15"/>
    <n v="0"/>
    <s v="REG100782"/>
    <x v="749"/>
    <n v="35.51"/>
    <x v="410"/>
    <d v="2024-06-13T00:00:00"/>
    <x v="4"/>
    <n v="1032.0999999999999"/>
    <n v="51.604999999999997"/>
    <n v="980.49499999999989"/>
    <n v="8"/>
    <x v="574"/>
    <n v="0"/>
  </r>
  <r>
    <d v="2024-07-09T00:00:00"/>
    <x v="0"/>
    <x v="6"/>
    <x v="15"/>
    <n v="256.83"/>
    <s v="Store A"/>
    <x v="0"/>
    <n v="0.15"/>
    <x v="3"/>
    <n v="873.22199999999987"/>
    <x v="4"/>
    <m/>
    <n v="1"/>
    <s v="REG100783"/>
    <x v="750"/>
    <n v="44.72"/>
    <x v="540"/>
    <d v="2024-07-17T00:00:00"/>
    <x v="0"/>
    <n v="1027.32"/>
    <n v="154.09799999999998"/>
    <n v="873.22199999999998"/>
    <n v="8"/>
    <x v="575"/>
    <n v="0"/>
  </r>
  <r>
    <d v="2025-03-08T00:00:00"/>
    <x v="1"/>
    <x v="4"/>
    <x v="1"/>
    <n v="247.04"/>
    <s v="Store C"/>
    <x v="0"/>
    <n v="0"/>
    <x v="5"/>
    <n v="247.04"/>
    <x v="2"/>
    <s v="FREESHIP"/>
    <n v="0"/>
    <s v="REG100784"/>
    <x v="751"/>
    <n v="26.86"/>
    <x v="251"/>
    <d v="2025-03-13T00:00:00"/>
    <x v="1"/>
    <n v="247.04"/>
    <n v="0"/>
    <n v="247.04"/>
    <n v="5"/>
    <x v="0"/>
    <n v="0"/>
  </r>
  <r>
    <d v="2025-06-21T00:00:00"/>
    <x v="1"/>
    <x v="5"/>
    <x v="5"/>
    <n v="583.38"/>
    <s v="Store B"/>
    <x v="1"/>
    <n v="0.15"/>
    <x v="4"/>
    <n v="1487.6189999999999"/>
    <x v="4"/>
    <s v="WINTER15"/>
    <n v="1"/>
    <s v="REG100785"/>
    <x v="752"/>
    <n v="30.12"/>
    <x v="513"/>
    <d v="2025-06-30T00:00:00"/>
    <x v="1"/>
    <n v="1750.1399999999999"/>
    <n v="262.52099999999996"/>
    <n v="1487.6189999999999"/>
    <n v="9"/>
    <x v="576"/>
    <n v="0"/>
  </r>
  <r>
    <d v="2025-06-28T00:00:00"/>
    <x v="2"/>
    <x v="5"/>
    <x v="14"/>
    <n v="341.38"/>
    <s v="Store C"/>
    <x v="1"/>
    <n v="0.15"/>
    <x v="1"/>
    <n v="3772.2489999999989"/>
    <x v="4"/>
    <m/>
    <n v="0"/>
    <s v="REG100786"/>
    <x v="753"/>
    <n v="18.2"/>
    <x v="541"/>
    <d v="2025-07-01T00:00:00"/>
    <x v="2"/>
    <n v="4437.9399999999996"/>
    <n v="665.69099999999992"/>
    <n v="3772.2489999999998"/>
    <n v="3"/>
    <x v="577"/>
    <n v="0"/>
  </r>
  <r>
    <d v="2025-04-05T00:00:00"/>
    <x v="4"/>
    <x v="3"/>
    <x v="8"/>
    <n v="267.02999999999997"/>
    <s v="Store D"/>
    <x v="0"/>
    <n v="0.15"/>
    <x v="5"/>
    <n v="4312.5344999999998"/>
    <x v="0"/>
    <s v="SAVE10"/>
    <n v="1"/>
    <s v="REG100787"/>
    <x v="754"/>
    <n v="35.82"/>
    <x v="518"/>
    <d v="2025-04-13T00:00:00"/>
    <x v="4"/>
    <n v="5073.57"/>
    <n v="761.03549999999996"/>
    <n v="4312.5344999999998"/>
    <n v="8"/>
    <x v="578"/>
    <n v="0"/>
  </r>
  <r>
    <d v="2024-03-05T00:00:00"/>
    <x v="1"/>
    <x v="6"/>
    <x v="4"/>
    <n v="77.69"/>
    <s v="Store D"/>
    <x v="0"/>
    <n v="0"/>
    <x v="3"/>
    <n v="543.82999999999993"/>
    <x v="2"/>
    <s v="SAVE10"/>
    <n v="0"/>
    <s v="REG100788"/>
    <x v="755"/>
    <n v="41.89"/>
    <x v="337"/>
    <d v="2024-03-12T00:00:00"/>
    <x v="1"/>
    <n v="543.82999999999993"/>
    <n v="0"/>
    <n v="543.82999999999993"/>
    <n v="7"/>
    <x v="0"/>
    <n v="0"/>
  </r>
  <r>
    <d v="2024-03-09T00:00:00"/>
    <x v="0"/>
    <x v="1"/>
    <x v="11"/>
    <n v="312.43"/>
    <s v="Store C"/>
    <x v="1"/>
    <n v="0"/>
    <x v="3"/>
    <n v="6248.6"/>
    <x v="2"/>
    <s v="SAVE10"/>
    <n v="0"/>
    <s v="REG100789"/>
    <x v="756"/>
    <n v="28.11"/>
    <x v="542"/>
    <d v="2024-03-11T00:00:00"/>
    <x v="0"/>
    <n v="6248.6"/>
    <n v="0"/>
    <n v="6248.6"/>
    <n v="2"/>
    <x v="0"/>
    <n v="0"/>
  </r>
  <r>
    <d v="2025-02-25T00:00:00"/>
    <x v="3"/>
    <x v="4"/>
    <x v="8"/>
    <n v="14.1"/>
    <s v="Store C"/>
    <x v="0"/>
    <n v="0.05"/>
    <x v="3"/>
    <n v="254.505"/>
    <x v="4"/>
    <s v="FREESHIP"/>
    <n v="0"/>
    <s v="REG100790"/>
    <x v="757"/>
    <n v="37.840000000000003"/>
    <x v="296"/>
    <d v="2025-02-28T00:00:00"/>
    <x v="3"/>
    <n v="267.89999999999998"/>
    <n v="13.395"/>
    <n v="254.50499999999997"/>
    <n v="3"/>
    <x v="579"/>
    <n v="0"/>
  </r>
  <r>
    <d v="2024-11-16T00:00:00"/>
    <x v="4"/>
    <x v="5"/>
    <x v="9"/>
    <n v="266.83"/>
    <s v="Store D"/>
    <x v="1"/>
    <n v="0.05"/>
    <x v="2"/>
    <n v="4309.3044999999993"/>
    <x v="2"/>
    <s v="WINTER15"/>
    <n v="0"/>
    <s v="REG100791"/>
    <x v="758"/>
    <n v="32.520000000000003"/>
    <x v="85"/>
    <d v="2024-11-23T00:00:00"/>
    <x v="4"/>
    <n v="4536.1099999999997"/>
    <n v="226.80549999999999"/>
    <n v="4309.3044999999993"/>
    <n v="7"/>
    <x v="580"/>
    <n v="0"/>
  </r>
  <r>
    <d v="2024-08-01T00:00:00"/>
    <x v="1"/>
    <x v="6"/>
    <x v="11"/>
    <n v="248.11"/>
    <s v="Store D"/>
    <x v="0"/>
    <n v="0.05"/>
    <x v="3"/>
    <n v="4714.09"/>
    <x v="0"/>
    <s v="SAVE10"/>
    <n v="0"/>
    <s v="REG100792"/>
    <x v="759"/>
    <n v="22.96"/>
    <x v="537"/>
    <d v="2024-08-06T00:00:00"/>
    <x v="1"/>
    <n v="4962.2000000000007"/>
    <n v="248.11000000000004"/>
    <n v="4714.0900000000011"/>
    <n v="5"/>
    <x v="581"/>
    <n v="0"/>
  </r>
  <r>
    <d v="2024-04-20T00:00:00"/>
    <x v="4"/>
    <x v="3"/>
    <x v="6"/>
    <n v="316.76"/>
    <s v="Store B"/>
    <x v="1"/>
    <n v="0.05"/>
    <x v="1"/>
    <n v="1504.61"/>
    <x v="1"/>
    <s v="FREESHIP"/>
    <n v="1"/>
    <s v="REG100793"/>
    <x v="611"/>
    <n v="12.7"/>
    <x v="528"/>
    <d v="2024-04-30T00:00:00"/>
    <x v="4"/>
    <n v="1583.8"/>
    <n v="79.19"/>
    <n v="1504.61"/>
    <n v="10"/>
    <x v="582"/>
    <n v="0"/>
  </r>
  <r>
    <d v="2024-04-20T00:00:00"/>
    <x v="1"/>
    <x v="0"/>
    <x v="3"/>
    <n v="169.62"/>
    <s v="Store C"/>
    <x v="1"/>
    <n v="0.1"/>
    <x v="1"/>
    <n v="305.31599999999997"/>
    <x v="3"/>
    <m/>
    <n v="0"/>
    <s v="REG100794"/>
    <x v="760"/>
    <n v="45.41"/>
    <x v="528"/>
    <d v="2024-04-25T00:00:00"/>
    <x v="1"/>
    <n v="339.24"/>
    <n v="33.923999999999999"/>
    <n v="305.31600000000003"/>
    <n v="5"/>
    <x v="583"/>
    <n v="0"/>
  </r>
  <r>
    <d v="2023-09-22T00:00:00"/>
    <x v="2"/>
    <x v="0"/>
    <x v="8"/>
    <n v="35.380000000000003"/>
    <s v="Store A"/>
    <x v="1"/>
    <n v="0.15"/>
    <x v="4"/>
    <n v="571.38700000000006"/>
    <x v="0"/>
    <s v="SAVE10"/>
    <n v="0"/>
    <s v="REG100795"/>
    <x v="761"/>
    <n v="7.06"/>
    <x v="466"/>
    <d v="2023-09-28T00:00:00"/>
    <x v="2"/>
    <n v="672.22"/>
    <n v="100.833"/>
    <n v="571.38700000000006"/>
    <n v="6"/>
    <x v="584"/>
    <n v="0"/>
  </r>
  <r>
    <d v="2025-02-21T00:00:00"/>
    <x v="4"/>
    <x v="3"/>
    <x v="5"/>
    <n v="264.08"/>
    <s v="Store A"/>
    <x v="1"/>
    <n v="0.1"/>
    <x v="4"/>
    <n v="713.01600000000008"/>
    <x v="0"/>
    <m/>
    <n v="0"/>
    <s v="REG100796"/>
    <x v="762"/>
    <n v="25.39"/>
    <x v="383"/>
    <d v="2025-03-02T00:00:00"/>
    <x v="4"/>
    <n v="792.24"/>
    <n v="79.224000000000004"/>
    <n v="713.01599999999996"/>
    <n v="9"/>
    <x v="585"/>
    <n v="0"/>
  </r>
  <r>
    <d v="2025-06-24T00:00:00"/>
    <x v="0"/>
    <x v="5"/>
    <x v="6"/>
    <n v="137.56"/>
    <s v="Store C"/>
    <x v="0"/>
    <n v="0.15"/>
    <x v="4"/>
    <n v="584.63"/>
    <x v="3"/>
    <s v="SAVE10"/>
    <n v="0"/>
    <s v="REG100797"/>
    <x v="104"/>
    <n v="6.45"/>
    <x v="543"/>
    <d v="2025-07-01T00:00:00"/>
    <x v="0"/>
    <n v="687.8"/>
    <n v="103.16999999999999"/>
    <n v="584.63"/>
    <n v="7"/>
    <x v="586"/>
    <n v="0"/>
  </r>
  <r>
    <d v="2023-11-28T00:00:00"/>
    <x v="3"/>
    <x v="0"/>
    <x v="19"/>
    <n v="157.93"/>
    <s v="Store B"/>
    <x v="1"/>
    <n v="0.15"/>
    <x v="4"/>
    <n v="1073.924"/>
    <x v="0"/>
    <s v="SAVE10"/>
    <n v="0"/>
    <s v="REG100798"/>
    <x v="763"/>
    <n v="6.31"/>
    <x v="206"/>
    <d v="2023-12-05T00:00:00"/>
    <x v="3"/>
    <n v="1263.44"/>
    <n v="189.51599999999999"/>
    <n v="1073.924"/>
    <n v="7"/>
    <x v="587"/>
    <n v="0"/>
  </r>
  <r>
    <d v="2024-04-08T00:00:00"/>
    <x v="2"/>
    <x v="2"/>
    <x v="16"/>
    <n v="126.86"/>
    <s v="Store C"/>
    <x v="0"/>
    <n v="0.05"/>
    <x v="0"/>
    <n v="723.10199999999998"/>
    <x v="3"/>
    <s v="FREESHIP"/>
    <n v="0"/>
    <s v="REG100799"/>
    <x v="764"/>
    <n v="35.49"/>
    <x v="413"/>
    <d v="2024-04-17T00:00:00"/>
    <x v="2"/>
    <n v="761.16"/>
    <n v="38.058"/>
    <n v="723.10199999999998"/>
    <n v="9"/>
    <x v="588"/>
    <n v="0"/>
  </r>
  <r>
    <d v="2025-01-07T00:00:00"/>
    <x v="2"/>
    <x v="3"/>
    <x v="7"/>
    <n v="240.05"/>
    <s v="Store C"/>
    <x v="1"/>
    <n v="0.05"/>
    <x v="3"/>
    <n v="3420.7125000000001"/>
    <x v="2"/>
    <s v="FREESHIP"/>
    <n v="0"/>
    <s v="REG100800"/>
    <x v="670"/>
    <n v="14.31"/>
    <x v="316"/>
    <d v="2025-01-14T00:00:00"/>
    <x v="2"/>
    <n v="3600.75"/>
    <n v="180.03750000000002"/>
    <n v="3420.7125000000001"/>
    <n v="7"/>
    <x v="589"/>
    <n v="0"/>
  </r>
  <r>
    <d v="2023-02-24T00:00:00"/>
    <x v="1"/>
    <x v="5"/>
    <x v="5"/>
    <n v="37.630000000000003"/>
    <s v="Store A"/>
    <x v="0"/>
    <n v="0.1"/>
    <x v="3"/>
    <n v="101.601"/>
    <x v="3"/>
    <s v="FREESHIP"/>
    <n v="0"/>
    <s v="REG100801"/>
    <x v="765"/>
    <n v="43.7"/>
    <x v="349"/>
    <d v="2023-03-03T00:00:00"/>
    <x v="1"/>
    <n v="112.89000000000001"/>
    <n v="11.289000000000001"/>
    <n v="101.60100000000001"/>
    <n v="7"/>
    <x v="590"/>
    <n v="0"/>
  </r>
  <r>
    <d v="2023-10-19T00:00:00"/>
    <x v="0"/>
    <x v="3"/>
    <x v="14"/>
    <n v="393.1"/>
    <s v="Store B"/>
    <x v="0"/>
    <n v="0.1"/>
    <x v="1"/>
    <n v="4599.2700000000004"/>
    <x v="0"/>
    <m/>
    <n v="0"/>
    <s v="REG100802"/>
    <x v="7"/>
    <n v="12.64"/>
    <x v="544"/>
    <d v="2023-10-26T00:00:00"/>
    <x v="0"/>
    <n v="5110.3"/>
    <n v="511.03000000000003"/>
    <n v="4599.2700000000004"/>
    <n v="7"/>
    <x v="591"/>
    <n v="0"/>
  </r>
  <r>
    <d v="2024-06-17T00:00:00"/>
    <x v="2"/>
    <x v="3"/>
    <x v="12"/>
    <n v="83.86"/>
    <s v="Store A"/>
    <x v="0"/>
    <n v="0.15"/>
    <x v="1"/>
    <n v="712.81"/>
    <x v="2"/>
    <m/>
    <n v="0"/>
    <s v="REG100803"/>
    <x v="766"/>
    <n v="41.11"/>
    <x v="545"/>
    <d v="2024-06-21T00:00:00"/>
    <x v="2"/>
    <n v="838.6"/>
    <n v="125.78999999999999"/>
    <n v="712.81000000000006"/>
    <n v="4"/>
    <x v="592"/>
    <n v="0"/>
  </r>
  <r>
    <d v="2023-06-21T00:00:00"/>
    <x v="3"/>
    <x v="2"/>
    <x v="12"/>
    <n v="110.07"/>
    <s v="Store B"/>
    <x v="0"/>
    <n v="0"/>
    <x v="2"/>
    <n v="1100.7"/>
    <x v="2"/>
    <m/>
    <n v="0"/>
    <s v="REG100804"/>
    <x v="767"/>
    <n v="18.47"/>
    <x v="522"/>
    <d v="2023-06-29T00:00:00"/>
    <x v="3"/>
    <n v="1100.6999999999998"/>
    <n v="0"/>
    <n v="1100.6999999999998"/>
    <n v="8"/>
    <x v="0"/>
    <n v="0"/>
  </r>
  <r>
    <d v="2024-08-30T00:00:00"/>
    <x v="0"/>
    <x v="1"/>
    <x v="16"/>
    <n v="288.98"/>
    <s v="Store C"/>
    <x v="0"/>
    <n v="0.15"/>
    <x v="4"/>
    <n v="1473.798"/>
    <x v="1"/>
    <m/>
    <n v="0"/>
    <s v="REG100805"/>
    <x v="768"/>
    <n v="38.630000000000003"/>
    <x v="315"/>
    <d v="2024-09-02T00:00:00"/>
    <x v="0"/>
    <n v="1733.88"/>
    <n v="260.08199999999999"/>
    <n v="1473.7980000000002"/>
    <n v="3"/>
    <x v="593"/>
    <n v="0"/>
  </r>
  <r>
    <d v="2025-01-03T00:00:00"/>
    <x v="3"/>
    <x v="2"/>
    <x v="12"/>
    <n v="451.14"/>
    <s v="Store A"/>
    <x v="1"/>
    <n v="0"/>
    <x v="5"/>
    <n v="4511.3999999999996"/>
    <x v="1"/>
    <s v="FREESHIP"/>
    <n v="0"/>
    <s v="REG100806"/>
    <x v="769"/>
    <n v="29.96"/>
    <x v="546"/>
    <d v="2025-01-13T00:00:00"/>
    <x v="3"/>
    <n v="4511.3999999999996"/>
    <n v="0"/>
    <n v="4511.3999999999996"/>
    <n v="10"/>
    <x v="0"/>
    <n v="0"/>
  </r>
  <r>
    <d v="2023-02-23T00:00:00"/>
    <x v="4"/>
    <x v="6"/>
    <x v="18"/>
    <n v="509.08"/>
    <s v="Store C"/>
    <x v="0"/>
    <n v="0"/>
    <x v="3"/>
    <n v="8145.28"/>
    <x v="0"/>
    <s v="FREESHIP"/>
    <n v="0"/>
    <s v="REG100807"/>
    <x v="409"/>
    <n v="37.53"/>
    <x v="0"/>
    <d v="2023-03-02T00:00:00"/>
    <x v="4"/>
    <n v="8145.28"/>
    <n v="0"/>
    <n v="8145.28"/>
    <n v="7"/>
    <x v="0"/>
    <n v="0"/>
  </r>
  <r>
    <d v="2025-04-26T00:00:00"/>
    <x v="3"/>
    <x v="6"/>
    <x v="15"/>
    <n v="582.73"/>
    <s v="Store D"/>
    <x v="0"/>
    <n v="0.05"/>
    <x v="3"/>
    <n v="2214.3739999999998"/>
    <x v="4"/>
    <s v="WINTER15"/>
    <n v="0"/>
    <s v="REG100808"/>
    <x v="770"/>
    <n v="44.26"/>
    <x v="547"/>
    <d v="2025-04-29T00:00:00"/>
    <x v="3"/>
    <n v="2330.92"/>
    <n v="116.54600000000001"/>
    <n v="2214.3740000000003"/>
    <n v="3"/>
    <x v="594"/>
    <n v="0"/>
  </r>
  <r>
    <d v="2023-06-08T00:00:00"/>
    <x v="1"/>
    <x v="1"/>
    <x v="17"/>
    <n v="115.24"/>
    <s v="Store B"/>
    <x v="0"/>
    <n v="0"/>
    <x v="1"/>
    <n v="1037.1600000000001"/>
    <x v="2"/>
    <s v="FREESHIP"/>
    <n v="0"/>
    <s v="REG100809"/>
    <x v="771"/>
    <n v="8.2799999999999994"/>
    <x v="548"/>
    <d v="2023-06-14T00:00:00"/>
    <x v="1"/>
    <n v="1037.1599999999999"/>
    <n v="0"/>
    <n v="1037.1599999999999"/>
    <n v="6"/>
    <x v="0"/>
    <n v="0"/>
  </r>
  <r>
    <d v="2023-03-16T00:00:00"/>
    <x v="2"/>
    <x v="4"/>
    <x v="0"/>
    <n v="565.45000000000005"/>
    <s v="Store D"/>
    <x v="0"/>
    <n v="0.1"/>
    <x v="0"/>
    <n v="7124.670000000001"/>
    <x v="0"/>
    <s v="WINTER15"/>
    <n v="0"/>
    <s v="REG100810"/>
    <x v="772"/>
    <n v="24.4"/>
    <x v="399"/>
    <d v="2023-03-25T00:00:00"/>
    <x v="2"/>
    <n v="7916.3000000000011"/>
    <n v="791.63000000000011"/>
    <n v="7124.670000000001"/>
    <n v="9"/>
    <x v="595"/>
    <n v="0"/>
  </r>
  <r>
    <d v="2024-10-23T00:00:00"/>
    <x v="2"/>
    <x v="1"/>
    <x v="10"/>
    <n v="121.54"/>
    <s v="Store D"/>
    <x v="0"/>
    <n v="0"/>
    <x v="3"/>
    <n v="1336.94"/>
    <x v="2"/>
    <s v="SAVE10"/>
    <n v="0"/>
    <s v="REG100811"/>
    <x v="773"/>
    <n v="16.62"/>
    <x v="75"/>
    <d v="2024-10-28T00:00:00"/>
    <x v="2"/>
    <n v="1336.94"/>
    <n v="0"/>
    <n v="1336.94"/>
    <n v="5"/>
    <x v="0"/>
    <n v="0"/>
  </r>
  <r>
    <d v="2025-05-23T00:00:00"/>
    <x v="0"/>
    <x v="6"/>
    <x v="17"/>
    <n v="160.15"/>
    <s v="Store D"/>
    <x v="1"/>
    <n v="0.1"/>
    <x v="1"/>
    <n v="1297.2149999999999"/>
    <x v="3"/>
    <m/>
    <n v="1"/>
    <s v="REG100812"/>
    <x v="774"/>
    <n v="29.64"/>
    <x v="549"/>
    <d v="2025-05-28T00:00:00"/>
    <x v="0"/>
    <n v="1441.3500000000001"/>
    <n v="144.13500000000002"/>
    <n v="1297.2150000000001"/>
    <n v="5"/>
    <x v="596"/>
    <n v="0"/>
  </r>
  <r>
    <d v="2023-05-06T00:00:00"/>
    <x v="0"/>
    <x v="2"/>
    <x v="0"/>
    <n v="175.66"/>
    <s v="Store B"/>
    <x v="0"/>
    <n v="0.05"/>
    <x v="5"/>
    <n v="2336.2779999999998"/>
    <x v="4"/>
    <s v="SAVE10"/>
    <n v="0"/>
    <s v="REG100813"/>
    <x v="775"/>
    <n v="26.12"/>
    <x v="400"/>
    <d v="2023-05-14T00:00:00"/>
    <x v="0"/>
    <n v="2459.2399999999998"/>
    <n v="122.96199999999999"/>
    <n v="2336.2779999999998"/>
    <n v="8"/>
    <x v="597"/>
    <n v="0"/>
  </r>
  <r>
    <d v="2024-08-15T00:00:00"/>
    <x v="1"/>
    <x v="5"/>
    <x v="5"/>
    <n v="437.97"/>
    <s v="Store C"/>
    <x v="0"/>
    <n v="0.05"/>
    <x v="0"/>
    <n v="1248.2145"/>
    <x v="4"/>
    <s v="SAVE10"/>
    <n v="1"/>
    <s v="REG100814"/>
    <x v="776"/>
    <n v="23.29"/>
    <x v="255"/>
    <d v="2024-08-22T00:00:00"/>
    <x v="1"/>
    <n v="1313.91"/>
    <n v="65.69550000000001"/>
    <n v="1248.2145"/>
    <n v="7"/>
    <x v="598"/>
    <n v="0"/>
  </r>
  <r>
    <d v="2023-08-23T00:00:00"/>
    <x v="1"/>
    <x v="6"/>
    <x v="13"/>
    <n v="411.59"/>
    <s v="Store B"/>
    <x v="0"/>
    <n v="0.15"/>
    <x v="4"/>
    <n v="4198.2179999999998"/>
    <x v="4"/>
    <s v="FREESHIP"/>
    <n v="0"/>
    <s v="REG100815"/>
    <x v="777"/>
    <n v="19.170000000000002"/>
    <x v="200"/>
    <d v="2023-08-31T00:00:00"/>
    <x v="1"/>
    <n v="4939.08"/>
    <n v="740.86199999999997"/>
    <n v="4198.2179999999998"/>
    <n v="8"/>
    <x v="599"/>
    <n v="0"/>
  </r>
  <r>
    <d v="2025-04-13T00:00:00"/>
    <x v="1"/>
    <x v="0"/>
    <x v="1"/>
    <n v="163.29"/>
    <s v="Store B"/>
    <x v="1"/>
    <n v="0"/>
    <x v="4"/>
    <n v="163.29"/>
    <x v="2"/>
    <s v="WINTER15"/>
    <n v="0"/>
    <s v="REG100816"/>
    <x v="778"/>
    <n v="21.15"/>
    <x v="91"/>
    <d v="2025-04-22T00:00:00"/>
    <x v="1"/>
    <n v="163.29"/>
    <n v="0"/>
    <n v="163.29"/>
    <n v="9"/>
    <x v="0"/>
    <n v="0"/>
  </r>
  <r>
    <d v="2024-06-11T00:00:00"/>
    <x v="3"/>
    <x v="2"/>
    <x v="6"/>
    <n v="538.52"/>
    <s v="Store B"/>
    <x v="0"/>
    <n v="0.05"/>
    <x v="1"/>
    <n v="2557.9699999999998"/>
    <x v="1"/>
    <m/>
    <n v="0"/>
    <s v="REG100817"/>
    <x v="779"/>
    <n v="45.81"/>
    <x v="550"/>
    <d v="2024-06-17T00:00:00"/>
    <x v="3"/>
    <n v="2692.6"/>
    <n v="134.63"/>
    <n v="2557.9699999999998"/>
    <n v="6"/>
    <x v="600"/>
    <n v="0"/>
  </r>
  <r>
    <d v="2024-04-29T00:00:00"/>
    <x v="1"/>
    <x v="1"/>
    <x v="10"/>
    <n v="255.95"/>
    <s v="Store C"/>
    <x v="0"/>
    <n v="0.1"/>
    <x v="1"/>
    <n v="2533.9050000000002"/>
    <x v="0"/>
    <m/>
    <n v="0"/>
    <s v="REG100818"/>
    <x v="780"/>
    <n v="21.99"/>
    <x v="131"/>
    <d v="2024-05-04T00:00:00"/>
    <x v="1"/>
    <n v="2815.45"/>
    <n v="281.54500000000002"/>
    <n v="2533.9049999999997"/>
    <n v="5"/>
    <x v="601"/>
    <n v="0"/>
  </r>
  <r>
    <d v="2023-03-27T00:00:00"/>
    <x v="1"/>
    <x v="2"/>
    <x v="4"/>
    <n v="290.22000000000003"/>
    <s v="Store A"/>
    <x v="1"/>
    <n v="0.1"/>
    <x v="1"/>
    <n v="1828.386"/>
    <x v="4"/>
    <s v="WINTER15"/>
    <n v="0"/>
    <s v="REG100819"/>
    <x v="781"/>
    <n v="33.15"/>
    <x v="340"/>
    <d v="2023-04-04T00:00:00"/>
    <x v="1"/>
    <n v="2031.5400000000002"/>
    <n v="203.15400000000002"/>
    <n v="1828.3860000000002"/>
    <n v="8"/>
    <x v="602"/>
    <n v="0"/>
  </r>
  <r>
    <d v="2024-10-23T00:00:00"/>
    <x v="2"/>
    <x v="3"/>
    <x v="11"/>
    <n v="198.95"/>
    <s v="Store B"/>
    <x v="1"/>
    <n v="0.1"/>
    <x v="4"/>
    <n v="3581.1"/>
    <x v="2"/>
    <m/>
    <n v="1"/>
    <s v="REG100820"/>
    <x v="782"/>
    <n v="5.16"/>
    <x v="75"/>
    <d v="2024-10-25T00:00:00"/>
    <x v="2"/>
    <n v="3979"/>
    <n v="397.90000000000003"/>
    <n v="3581.1"/>
    <n v="2"/>
    <x v="603"/>
    <n v="0"/>
  </r>
  <r>
    <d v="2023-06-21T00:00:00"/>
    <x v="2"/>
    <x v="6"/>
    <x v="10"/>
    <n v="577.1"/>
    <s v="Store C"/>
    <x v="1"/>
    <n v="0.15"/>
    <x v="2"/>
    <n v="5395.8850000000002"/>
    <x v="4"/>
    <s v="SAVE10"/>
    <n v="0"/>
    <s v="REG100821"/>
    <x v="306"/>
    <n v="13.16"/>
    <x v="522"/>
    <d v="2023-06-28T00:00:00"/>
    <x v="2"/>
    <n v="6348.1"/>
    <n v="952.21500000000003"/>
    <n v="5395.8850000000002"/>
    <n v="7"/>
    <x v="604"/>
    <n v="0"/>
  </r>
  <r>
    <d v="2023-05-12T00:00:00"/>
    <x v="3"/>
    <x v="6"/>
    <x v="12"/>
    <n v="50.1"/>
    <s v="Store A"/>
    <x v="0"/>
    <n v="0.1"/>
    <x v="5"/>
    <n v="450.9"/>
    <x v="4"/>
    <s v="FREESHIP"/>
    <n v="1"/>
    <s v="REG100822"/>
    <x v="571"/>
    <n v="23.43"/>
    <x v="551"/>
    <d v="2023-05-19T00:00:00"/>
    <x v="3"/>
    <n v="501"/>
    <n v="50.1"/>
    <n v="450.9"/>
    <n v="7"/>
    <x v="605"/>
    <n v="0"/>
  </r>
  <r>
    <d v="2024-10-20T00:00:00"/>
    <x v="3"/>
    <x v="6"/>
    <x v="8"/>
    <n v="554.5"/>
    <s v="Store B"/>
    <x v="1"/>
    <n v="0.15"/>
    <x v="3"/>
    <n v="8955.1749999999993"/>
    <x v="0"/>
    <m/>
    <n v="1"/>
    <s v="REG100823"/>
    <x v="783"/>
    <n v="47.16"/>
    <x v="552"/>
    <d v="2024-10-24T00:00:00"/>
    <x v="3"/>
    <n v="10535.5"/>
    <n v="1580.325"/>
    <n v="8955.1749999999993"/>
    <n v="4"/>
    <x v="606"/>
    <n v="0"/>
  </r>
  <r>
    <d v="2024-04-04T00:00:00"/>
    <x v="2"/>
    <x v="0"/>
    <x v="0"/>
    <n v="117.31"/>
    <s v="Store A"/>
    <x v="0"/>
    <n v="0"/>
    <x v="4"/>
    <n v="1642.34"/>
    <x v="0"/>
    <s v="WINTER15"/>
    <n v="0"/>
    <s v="REG100824"/>
    <x v="784"/>
    <n v="41.24"/>
    <x v="553"/>
    <d v="2024-04-07T00:00:00"/>
    <x v="2"/>
    <n v="1642.3400000000001"/>
    <n v="0"/>
    <n v="1642.3400000000001"/>
    <n v="3"/>
    <x v="0"/>
    <n v="0"/>
  </r>
  <r>
    <d v="2025-01-12T00:00:00"/>
    <x v="3"/>
    <x v="5"/>
    <x v="5"/>
    <n v="193.98"/>
    <s v="Store A"/>
    <x v="1"/>
    <n v="0"/>
    <x v="5"/>
    <n v="581.93999999999994"/>
    <x v="2"/>
    <s v="WINTER15"/>
    <n v="0"/>
    <s v="REG100825"/>
    <x v="785"/>
    <n v="27.53"/>
    <x v="87"/>
    <d v="2025-01-16T00:00:00"/>
    <x v="3"/>
    <n v="581.93999999999994"/>
    <n v="0"/>
    <n v="581.93999999999994"/>
    <n v="4"/>
    <x v="0"/>
    <n v="0"/>
  </r>
  <r>
    <d v="2023-07-24T00:00:00"/>
    <x v="1"/>
    <x v="1"/>
    <x v="11"/>
    <n v="386.86"/>
    <s v="Store A"/>
    <x v="0"/>
    <n v="0.05"/>
    <x v="3"/>
    <n v="7350.34"/>
    <x v="0"/>
    <s v="WINTER15"/>
    <n v="0"/>
    <s v="REG100826"/>
    <x v="786"/>
    <n v="41.56"/>
    <x v="554"/>
    <d v="2023-07-29T00:00:00"/>
    <x v="1"/>
    <n v="7737.2000000000007"/>
    <n v="386.86000000000007"/>
    <n v="7350.3400000000011"/>
    <n v="5"/>
    <x v="607"/>
    <n v="0"/>
  </r>
  <r>
    <d v="2023-09-09T00:00:00"/>
    <x v="2"/>
    <x v="3"/>
    <x v="13"/>
    <n v="81.33"/>
    <s v="Store D"/>
    <x v="0"/>
    <n v="0"/>
    <x v="3"/>
    <n v="975.96"/>
    <x v="4"/>
    <s v="SAVE10"/>
    <n v="1"/>
    <s v="REG100827"/>
    <x v="695"/>
    <n v="30.73"/>
    <x v="507"/>
    <d v="2023-09-13T00:00:00"/>
    <x v="2"/>
    <n v="975.96"/>
    <n v="0"/>
    <n v="975.96"/>
    <n v="4"/>
    <x v="0"/>
    <n v="0"/>
  </r>
  <r>
    <d v="2024-04-20T00:00:00"/>
    <x v="0"/>
    <x v="6"/>
    <x v="6"/>
    <n v="550.65"/>
    <s v="Store A"/>
    <x v="1"/>
    <n v="0.15"/>
    <x v="5"/>
    <n v="2340.2624999999998"/>
    <x v="1"/>
    <m/>
    <n v="0"/>
    <s v="REG100828"/>
    <x v="787"/>
    <n v="16.82"/>
    <x v="528"/>
    <d v="2024-04-27T00:00:00"/>
    <x v="0"/>
    <n v="2753.25"/>
    <n v="412.98750000000001"/>
    <n v="2340.2624999999998"/>
    <n v="7"/>
    <x v="608"/>
    <n v="0"/>
  </r>
  <r>
    <d v="2025-02-06T00:00:00"/>
    <x v="4"/>
    <x v="6"/>
    <x v="15"/>
    <n v="473.91"/>
    <s v="Store A"/>
    <x v="1"/>
    <n v="0.05"/>
    <x v="0"/>
    <n v="1800.8579999999999"/>
    <x v="2"/>
    <s v="SAVE10"/>
    <n v="0"/>
    <s v="REG100829"/>
    <x v="676"/>
    <n v="29.22"/>
    <x v="323"/>
    <d v="2025-02-14T00:00:00"/>
    <x v="4"/>
    <n v="1895.64"/>
    <n v="94.782000000000011"/>
    <n v="1800.8580000000002"/>
    <n v="8"/>
    <x v="609"/>
    <n v="0"/>
  </r>
  <r>
    <d v="2023-06-18T00:00:00"/>
    <x v="4"/>
    <x v="5"/>
    <x v="8"/>
    <n v="25.22"/>
    <s v="Store C"/>
    <x v="0"/>
    <n v="0"/>
    <x v="5"/>
    <n v="479.17999999999989"/>
    <x v="2"/>
    <m/>
    <n v="0"/>
    <s v="REG100830"/>
    <x v="788"/>
    <n v="31.31"/>
    <x v="391"/>
    <d v="2023-06-22T00:00:00"/>
    <x v="4"/>
    <n v="479.17999999999995"/>
    <n v="0"/>
    <n v="479.17999999999995"/>
    <n v="4"/>
    <x v="0"/>
    <n v="0"/>
  </r>
  <r>
    <d v="2024-11-01T00:00:00"/>
    <x v="2"/>
    <x v="1"/>
    <x v="3"/>
    <n v="437.04"/>
    <s v="Store C"/>
    <x v="0"/>
    <n v="0"/>
    <x v="2"/>
    <n v="874.08"/>
    <x v="2"/>
    <s v="SAVE10"/>
    <n v="1"/>
    <s v="REG100831"/>
    <x v="789"/>
    <n v="37.369999999999997"/>
    <x v="501"/>
    <d v="2024-11-08T00:00:00"/>
    <x v="2"/>
    <n v="874.08"/>
    <n v="0"/>
    <n v="874.08"/>
    <n v="7"/>
    <x v="0"/>
    <n v="0"/>
  </r>
  <r>
    <d v="2024-08-12T00:00:00"/>
    <x v="4"/>
    <x v="2"/>
    <x v="6"/>
    <n v="448.86"/>
    <s v="Store C"/>
    <x v="0"/>
    <n v="0.15"/>
    <x v="2"/>
    <n v="1907.655"/>
    <x v="2"/>
    <s v="SAVE10"/>
    <n v="1"/>
    <s v="REG100832"/>
    <x v="790"/>
    <n v="21.22"/>
    <x v="305"/>
    <d v="2024-08-21T00:00:00"/>
    <x v="4"/>
    <n v="2244.3000000000002"/>
    <n v="336.64500000000004"/>
    <n v="1907.6550000000002"/>
    <n v="9"/>
    <x v="610"/>
    <n v="0"/>
  </r>
  <r>
    <d v="2025-04-08T00:00:00"/>
    <x v="3"/>
    <x v="1"/>
    <x v="0"/>
    <n v="299.94"/>
    <s v="Store D"/>
    <x v="1"/>
    <n v="0"/>
    <x v="3"/>
    <n v="4199.16"/>
    <x v="1"/>
    <s v="FREESHIP"/>
    <n v="0"/>
    <s v="REG100833"/>
    <x v="791"/>
    <n v="21.04"/>
    <x v="409"/>
    <d v="2025-04-17T00:00:00"/>
    <x v="3"/>
    <n v="4199.16"/>
    <n v="0"/>
    <n v="4199.16"/>
    <n v="9"/>
    <x v="0"/>
    <n v="0"/>
  </r>
  <r>
    <d v="2024-07-20T00:00:00"/>
    <x v="3"/>
    <x v="0"/>
    <x v="19"/>
    <n v="224.18"/>
    <s v="Store B"/>
    <x v="1"/>
    <n v="0.15"/>
    <x v="5"/>
    <n v="1524.424"/>
    <x v="3"/>
    <m/>
    <n v="0"/>
    <s v="REG100834"/>
    <x v="792"/>
    <n v="36.9"/>
    <x v="555"/>
    <d v="2024-07-26T00:00:00"/>
    <x v="3"/>
    <n v="1793.44"/>
    <n v="269.01600000000002"/>
    <n v="1524.424"/>
    <n v="6"/>
    <x v="611"/>
    <n v="0"/>
  </r>
  <r>
    <d v="2023-02-17T00:00:00"/>
    <x v="4"/>
    <x v="2"/>
    <x v="16"/>
    <n v="327.69"/>
    <s v="Store D"/>
    <x v="0"/>
    <n v="0.05"/>
    <x v="4"/>
    <n v="1867.8330000000001"/>
    <x v="4"/>
    <m/>
    <n v="0"/>
    <s v="REG100835"/>
    <x v="793"/>
    <n v="22.34"/>
    <x v="556"/>
    <d v="2023-02-21T00:00:00"/>
    <x v="4"/>
    <n v="1966.1399999999999"/>
    <n v="98.307000000000002"/>
    <n v="1867.8329999999999"/>
    <n v="4"/>
    <x v="612"/>
    <n v="0"/>
  </r>
  <r>
    <d v="2024-07-02T00:00:00"/>
    <x v="0"/>
    <x v="1"/>
    <x v="19"/>
    <n v="432.27"/>
    <s v="Store D"/>
    <x v="1"/>
    <n v="0.05"/>
    <x v="0"/>
    <n v="3285.251999999999"/>
    <x v="4"/>
    <s v="FREESHIP"/>
    <n v="1"/>
    <s v="REG100836"/>
    <x v="794"/>
    <n v="20.64"/>
    <x v="557"/>
    <d v="2024-07-04T00:00:00"/>
    <x v="0"/>
    <n v="3458.16"/>
    <n v="172.90800000000002"/>
    <n v="3285.252"/>
    <n v="2"/>
    <x v="613"/>
    <n v="0"/>
  </r>
  <r>
    <d v="2025-04-01T00:00:00"/>
    <x v="2"/>
    <x v="4"/>
    <x v="15"/>
    <n v="249.98"/>
    <s v="Store C"/>
    <x v="1"/>
    <n v="0.15"/>
    <x v="0"/>
    <n v="849.9319999999999"/>
    <x v="3"/>
    <s v="SAVE10"/>
    <n v="0"/>
    <s v="REG100837"/>
    <x v="795"/>
    <n v="49.08"/>
    <x v="159"/>
    <d v="2025-04-04T00:00:00"/>
    <x v="2"/>
    <n v="999.92"/>
    <n v="149.988"/>
    <n v="849.93200000000002"/>
    <n v="3"/>
    <x v="614"/>
    <n v="0"/>
  </r>
  <r>
    <d v="2025-06-02T00:00:00"/>
    <x v="1"/>
    <x v="6"/>
    <x v="0"/>
    <n v="194.31"/>
    <s v="Store C"/>
    <x v="0"/>
    <n v="0.15"/>
    <x v="2"/>
    <n v="2312.2890000000002"/>
    <x v="3"/>
    <s v="FREESHIP"/>
    <n v="0"/>
    <s v="REG100838"/>
    <x v="796"/>
    <n v="15.3"/>
    <x v="558"/>
    <d v="2025-06-09T00:00:00"/>
    <x v="1"/>
    <n v="2720.34"/>
    <n v="408.05099999999999"/>
    <n v="2312.2890000000002"/>
    <n v="7"/>
    <x v="615"/>
    <n v="0"/>
  </r>
  <r>
    <d v="2024-11-21T00:00:00"/>
    <x v="4"/>
    <x v="1"/>
    <x v="6"/>
    <n v="69.290000000000006"/>
    <s v="Store C"/>
    <x v="0"/>
    <n v="0"/>
    <x v="3"/>
    <n v="346.45"/>
    <x v="2"/>
    <m/>
    <n v="0"/>
    <s v="REG100839"/>
    <x v="797"/>
    <n v="20.83"/>
    <x v="559"/>
    <d v="2024-11-29T00:00:00"/>
    <x v="4"/>
    <n v="346.45000000000005"/>
    <n v="0"/>
    <n v="346.45000000000005"/>
    <n v="8"/>
    <x v="0"/>
    <n v="0"/>
  </r>
  <r>
    <d v="2024-01-10T00:00:00"/>
    <x v="1"/>
    <x v="6"/>
    <x v="7"/>
    <n v="306.91000000000003"/>
    <s v="Store A"/>
    <x v="1"/>
    <n v="0"/>
    <x v="3"/>
    <n v="4603.6500000000005"/>
    <x v="4"/>
    <s v="FREESHIP"/>
    <n v="1"/>
    <s v="REG100840"/>
    <x v="798"/>
    <n v="19.38"/>
    <x v="560"/>
    <d v="2024-01-14T00:00:00"/>
    <x v="1"/>
    <n v="4603.6500000000005"/>
    <n v="0"/>
    <n v="4603.6500000000005"/>
    <n v="4"/>
    <x v="0"/>
    <n v="0"/>
  </r>
  <r>
    <d v="2023-10-21T00:00:00"/>
    <x v="2"/>
    <x v="2"/>
    <x v="15"/>
    <n v="390.3"/>
    <s v="Store A"/>
    <x v="1"/>
    <n v="0.15"/>
    <x v="4"/>
    <n v="1327.02"/>
    <x v="3"/>
    <m/>
    <n v="0"/>
    <s v="REG100841"/>
    <x v="799"/>
    <n v="43.56"/>
    <x v="72"/>
    <d v="2023-10-26T00:00:00"/>
    <x v="2"/>
    <n v="1561.2"/>
    <n v="234.18"/>
    <n v="1327.02"/>
    <n v="5"/>
    <x v="616"/>
    <n v="0"/>
  </r>
  <r>
    <d v="2025-01-20T00:00:00"/>
    <x v="2"/>
    <x v="1"/>
    <x v="4"/>
    <n v="61.83"/>
    <s v="Store B"/>
    <x v="1"/>
    <n v="0"/>
    <x v="4"/>
    <n v="432.81"/>
    <x v="0"/>
    <s v="WINTER15"/>
    <n v="0"/>
    <s v="REG100842"/>
    <x v="800"/>
    <n v="25.49"/>
    <x v="135"/>
    <d v="2025-01-22T00:00:00"/>
    <x v="2"/>
    <n v="432.81"/>
    <n v="0"/>
    <n v="432.81"/>
    <n v="2"/>
    <x v="0"/>
    <n v="0"/>
  </r>
  <r>
    <d v="2024-11-09T00:00:00"/>
    <x v="4"/>
    <x v="4"/>
    <x v="4"/>
    <n v="83.32"/>
    <s v="Store D"/>
    <x v="0"/>
    <n v="0.05"/>
    <x v="3"/>
    <n v="554.07799999999997"/>
    <x v="4"/>
    <s v="FREESHIP"/>
    <n v="0"/>
    <s v="REG100843"/>
    <x v="801"/>
    <n v="23.4"/>
    <x v="325"/>
    <d v="2024-11-17T00:00:00"/>
    <x v="4"/>
    <n v="583.24"/>
    <n v="29.162000000000003"/>
    <n v="554.07799999999997"/>
    <n v="8"/>
    <x v="617"/>
    <n v="0"/>
  </r>
  <r>
    <d v="2024-04-03T00:00:00"/>
    <x v="4"/>
    <x v="4"/>
    <x v="15"/>
    <n v="563.05999999999995"/>
    <s v="Store D"/>
    <x v="1"/>
    <n v="0.05"/>
    <x v="5"/>
    <n v="2139.6280000000002"/>
    <x v="4"/>
    <s v="WINTER15"/>
    <n v="0"/>
    <s v="REG100844"/>
    <x v="802"/>
    <n v="19.5"/>
    <x v="516"/>
    <d v="2024-04-07T00:00:00"/>
    <x v="4"/>
    <n v="2252.2399999999998"/>
    <n v="112.61199999999999"/>
    <n v="2139.6279999999997"/>
    <n v="4"/>
    <x v="618"/>
    <n v="0"/>
  </r>
  <r>
    <d v="2024-01-06T00:00:00"/>
    <x v="2"/>
    <x v="1"/>
    <x v="14"/>
    <n v="256.35000000000002"/>
    <s v="Store D"/>
    <x v="0"/>
    <n v="0.15"/>
    <x v="1"/>
    <n v="2832.6675"/>
    <x v="4"/>
    <s v="SAVE10"/>
    <n v="0"/>
    <s v="REG100845"/>
    <x v="803"/>
    <n v="26.04"/>
    <x v="561"/>
    <d v="2024-01-08T00:00:00"/>
    <x v="2"/>
    <n v="3332.55"/>
    <n v="499.88249999999999"/>
    <n v="2832.6675"/>
    <n v="2"/>
    <x v="619"/>
    <n v="0"/>
  </r>
  <r>
    <d v="2023-08-02T00:00:00"/>
    <x v="3"/>
    <x v="6"/>
    <x v="17"/>
    <n v="303.26"/>
    <s v="Store A"/>
    <x v="0"/>
    <n v="0.05"/>
    <x v="4"/>
    <n v="2592.873"/>
    <x v="3"/>
    <s v="FREESHIP"/>
    <n v="0"/>
    <s v="REG100846"/>
    <x v="804"/>
    <n v="17.010000000000002"/>
    <x v="562"/>
    <d v="2023-08-05T00:00:00"/>
    <x v="3"/>
    <n v="2729.34"/>
    <n v="136.46700000000001"/>
    <n v="2592.873"/>
    <n v="3"/>
    <x v="620"/>
    <n v="0"/>
  </r>
  <r>
    <d v="2023-11-26T00:00:00"/>
    <x v="2"/>
    <x v="3"/>
    <x v="17"/>
    <n v="440.48"/>
    <s v="Store A"/>
    <x v="1"/>
    <n v="0.15"/>
    <x v="4"/>
    <n v="3369.672"/>
    <x v="1"/>
    <s v="WINTER15"/>
    <n v="0"/>
    <s v="REG100847"/>
    <x v="805"/>
    <n v="32.94"/>
    <x v="168"/>
    <d v="2023-12-01T00:00:00"/>
    <x v="2"/>
    <n v="3964.32"/>
    <n v="594.64800000000002"/>
    <n v="3369.672"/>
    <n v="5"/>
    <x v="621"/>
    <n v="0"/>
  </r>
  <r>
    <d v="2025-04-20T00:00:00"/>
    <x v="0"/>
    <x v="2"/>
    <x v="9"/>
    <n v="469.25"/>
    <s v="Store B"/>
    <x v="0"/>
    <n v="0.05"/>
    <x v="5"/>
    <n v="7578.3874999999998"/>
    <x v="2"/>
    <m/>
    <n v="0"/>
    <s v="REG100848"/>
    <x v="806"/>
    <n v="45.76"/>
    <x v="248"/>
    <d v="2025-04-26T00:00:00"/>
    <x v="0"/>
    <n v="7977.25"/>
    <n v="398.86250000000001"/>
    <n v="7578.3874999999998"/>
    <n v="6"/>
    <x v="622"/>
    <n v="0"/>
  </r>
  <r>
    <d v="2023-12-29T00:00:00"/>
    <x v="1"/>
    <x v="3"/>
    <x v="2"/>
    <n v="491.76"/>
    <s v="Store A"/>
    <x v="0"/>
    <n v="0.15"/>
    <x v="0"/>
    <n v="7523.9279999999999"/>
    <x v="2"/>
    <s v="SAVE10"/>
    <n v="0"/>
    <s v="REG100849"/>
    <x v="807"/>
    <n v="37.49"/>
    <x v="183"/>
    <d v="2024-01-05T00:00:00"/>
    <x v="1"/>
    <n v="8851.68"/>
    <n v="1327.752"/>
    <n v="7523.9279999999999"/>
    <n v="7"/>
    <x v="623"/>
    <n v="0"/>
  </r>
  <r>
    <d v="2025-01-08T00:00:00"/>
    <x v="3"/>
    <x v="3"/>
    <x v="8"/>
    <n v="465.27"/>
    <s v="Store C"/>
    <x v="1"/>
    <n v="0.05"/>
    <x v="4"/>
    <n v="8398.1234999999997"/>
    <x v="2"/>
    <m/>
    <n v="0"/>
    <s v="REG100850"/>
    <x v="808"/>
    <n v="44.95"/>
    <x v="304"/>
    <d v="2025-01-10T00:00:00"/>
    <x v="3"/>
    <n v="8840.1299999999992"/>
    <n v="442.00649999999996"/>
    <n v="8398.1234999999997"/>
    <n v="2"/>
    <x v="624"/>
    <n v="0"/>
  </r>
  <r>
    <d v="2024-05-06T00:00:00"/>
    <x v="0"/>
    <x v="3"/>
    <x v="2"/>
    <n v="343.68"/>
    <s v="Store B"/>
    <x v="1"/>
    <n v="0"/>
    <x v="0"/>
    <n v="6186.24"/>
    <x v="1"/>
    <s v="SAVE10"/>
    <n v="0"/>
    <s v="REG100851"/>
    <x v="809"/>
    <n v="20.37"/>
    <x v="563"/>
    <d v="2024-05-14T00:00:00"/>
    <x v="0"/>
    <n v="6186.24"/>
    <n v="0"/>
    <n v="6186.24"/>
    <n v="8"/>
    <x v="0"/>
    <n v="0"/>
  </r>
  <r>
    <d v="2024-09-15T00:00:00"/>
    <x v="2"/>
    <x v="2"/>
    <x v="0"/>
    <n v="472.51"/>
    <s v="Store D"/>
    <x v="0"/>
    <n v="0.05"/>
    <x v="5"/>
    <n v="6284.3829999999989"/>
    <x v="1"/>
    <m/>
    <n v="0"/>
    <s v="REG100852"/>
    <x v="810"/>
    <n v="13.54"/>
    <x v="564"/>
    <d v="2024-09-20T00:00:00"/>
    <x v="2"/>
    <n v="6615.1399999999994"/>
    <n v="330.75700000000001"/>
    <n v="6284.3829999999998"/>
    <n v="5"/>
    <x v="625"/>
    <n v="0"/>
  </r>
  <r>
    <d v="2023-02-07T00:00:00"/>
    <x v="4"/>
    <x v="0"/>
    <x v="11"/>
    <n v="142.52000000000001"/>
    <s v="Store A"/>
    <x v="1"/>
    <n v="0.1"/>
    <x v="0"/>
    <n v="2565.36"/>
    <x v="4"/>
    <s v="FREESHIP"/>
    <n v="0"/>
    <s v="REG100853"/>
    <x v="811"/>
    <n v="30.67"/>
    <x v="230"/>
    <d v="2023-02-12T00:00:00"/>
    <x v="4"/>
    <n v="2850.4"/>
    <n v="285.04000000000002"/>
    <n v="2565.36"/>
    <n v="5"/>
    <x v="626"/>
    <n v="0"/>
  </r>
  <r>
    <d v="2023-03-01T00:00:00"/>
    <x v="0"/>
    <x v="1"/>
    <x v="1"/>
    <n v="31.42"/>
    <s v="Store B"/>
    <x v="1"/>
    <n v="0.05"/>
    <x v="5"/>
    <n v="29.849"/>
    <x v="2"/>
    <s v="SAVE10"/>
    <n v="0"/>
    <s v="REG100854"/>
    <x v="184"/>
    <n v="11.35"/>
    <x v="565"/>
    <d v="2023-03-09T00:00:00"/>
    <x v="0"/>
    <n v="31.42"/>
    <n v="1.5710000000000002"/>
    <n v="29.849"/>
    <n v="8"/>
    <x v="627"/>
    <n v="0"/>
  </r>
  <r>
    <d v="2024-05-08T00:00:00"/>
    <x v="2"/>
    <x v="5"/>
    <x v="9"/>
    <n v="572.29"/>
    <s v="Store D"/>
    <x v="1"/>
    <n v="0.15"/>
    <x v="0"/>
    <n v="8269.5905000000002"/>
    <x v="0"/>
    <s v="SAVE10"/>
    <n v="1"/>
    <s v="REG100855"/>
    <x v="812"/>
    <n v="44.99"/>
    <x v="336"/>
    <d v="2024-05-12T00:00:00"/>
    <x v="2"/>
    <n v="9728.93"/>
    <n v="1459.3395"/>
    <n v="8269.5905000000002"/>
    <n v="4"/>
    <x v="628"/>
    <n v="0"/>
  </r>
  <r>
    <d v="2024-06-06T00:00:00"/>
    <x v="0"/>
    <x v="2"/>
    <x v="2"/>
    <n v="333.6"/>
    <s v="Store A"/>
    <x v="1"/>
    <n v="0.1"/>
    <x v="3"/>
    <n v="5404.3200000000006"/>
    <x v="3"/>
    <s v="FREESHIP"/>
    <n v="1"/>
    <s v="REG100856"/>
    <x v="813"/>
    <n v="33.79"/>
    <x v="566"/>
    <d v="2024-06-08T00:00:00"/>
    <x v="0"/>
    <n v="6004.8"/>
    <n v="600.48"/>
    <n v="5404.32"/>
    <n v="2"/>
    <x v="629"/>
    <n v="0"/>
  </r>
  <r>
    <d v="2023-04-29T00:00:00"/>
    <x v="2"/>
    <x v="3"/>
    <x v="17"/>
    <n v="90.87"/>
    <s v="Store D"/>
    <x v="1"/>
    <n v="0.15"/>
    <x v="3"/>
    <n v="695.15549999999996"/>
    <x v="3"/>
    <s v="WINTER15"/>
    <n v="0"/>
    <s v="REG100857"/>
    <x v="814"/>
    <n v="26.56"/>
    <x v="431"/>
    <d v="2023-05-08T00:00:00"/>
    <x v="2"/>
    <n v="817.83"/>
    <n v="122.67449999999999"/>
    <n v="695.15550000000007"/>
    <n v="9"/>
    <x v="630"/>
    <n v="0"/>
  </r>
  <r>
    <d v="2023-09-20T00:00:00"/>
    <x v="3"/>
    <x v="5"/>
    <x v="17"/>
    <n v="588.59"/>
    <s v="Store D"/>
    <x v="0"/>
    <n v="0.05"/>
    <x v="4"/>
    <n v="5032.4445000000014"/>
    <x v="0"/>
    <m/>
    <n v="0"/>
    <s v="REG100858"/>
    <x v="815"/>
    <n v="42.3"/>
    <x v="567"/>
    <d v="2023-09-22T00:00:00"/>
    <x v="3"/>
    <n v="5297.31"/>
    <n v="264.86550000000005"/>
    <n v="5032.4445000000005"/>
    <n v="2"/>
    <x v="631"/>
    <n v="0"/>
  </r>
  <r>
    <d v="2024-11-08T00:00:00"/>
    <x v="1"/>
    <x v="3"/>
    <x v="2"/>
    <n v="153.28"/>
    <s v="Store B"/>
    <x v="1"/>
    <n v="0.05"/>
    <x v="2"/>
    <n v="2621.0880000000002"/>
    <x v="0"/>
    <s v="WINTER15"/>
    <n v="1"/>
    <s v="REG100859"/>
    <x v="816"/>
    <n v="33.71"/>
    <x v="137"/>
    <d v="2024-11-13T00:00:00"/>
    <x v="1"/>
    <n v="2759.04"/>
    <n v="137.952"/>
    <n v="2621.0879999999997"/>
    <n v="5"/>
    <x v="632"/>
    <n v="0"/>
  </r>
  <r>
    <d v="2023-03-22T00:00:00"/>
    <x v="2"/>
    <x v="6"/>
    <x v="9"/>
    <n v="194.97"/>
    <s v="Store A"/>
    <x v="1"/>
    <n v="0.15"/>
    <x v="3"/>
    <n v="2817.3164999999999"/>
    <x v="1"/>
    <s v="SAVE10"/>
    <n v="1"/>
    <s v="REG100860"/>
    <x v="817"/>
    <n v="5.59"/>
    <x v="568"/>
    <d v="2023-03-30T00:00:00"/>
    <x v="2"/>
    <n v="3314.49"/>
    <n v="497.17349999999993"/>
    <n v="2817.3164999999999"/>
    <n v="8"/>
    <x v="633"/>
    <n v="0"/>
  </r>
  <r>
    <d v="2023-09-05T00:00:00"/>
    <x v="0"/>
    <x v="4"/>
    <x v="6"/>
    <n v="367.61"/>
    <s v="Store C"/>
    <x v="1"/>
    <n v="0"/>
    <x v="1"/>
    <n v="1838.05"/>
    <x v="2"/>
    <s v="SAVE10"/>
    <n v="0"/>
    <s v="REG100861"/>
    <x v="818"/>
    <n v="19.55"/>
    <x v="569"/>
    <d v="2023-09-13T00:00:00"/>
    <x v="0"/>
    <n v="1838.0500000000002"/>
    <n v="0"/>
    <n v="1838.0500000000002"/>
    <n v="8"/>
    <x v="0"/>
    <n v="0"/>
  </r>
  <r>
    <d v="2023-02-26T00:00:00"/>
    <x v="0"/>
    <x v="0"/>
    <x v="9"/>
    <n v="575.5"/>
    <s v="Store D"/>
    <x v="1"/>
    <n v="0.05"/>
    <x v="1"/>
    <n v="9294.3249999999989"/>
    <x v="3"/>
    <s v="FREESHIP"/>
    <n v="0"/>
    <s v="REG100862"/>
    <x v="819"/>
    <n v="13.42"/>
    <x v="16"/>
    <d v="2023-03-05T00:00:00"/>
    <x v="0"/>
    <n v="9783.5"/>
    <n v="489.17500000000001"/>
    <n v="9294.3250000000007"/>
    <n v="7"/>
    <x v="634"/>
    <n v="0"/>
  </r>
  <r>
    <d v="2024-11-26T00:00:00"/>
    <x v="4"/>
    <x v="3"/>
    <x v="5"/>
    <n v="229.45"/>
    <s v="Store D"/>
    <x v="1"/>
    <n v="0.15"/>
    <x v="5"/>
    <n v="585.09749999999985"/>
    <x v="3"/>
    <s v="WINTER15"/>
    <n v="1"/>
    <s v="REG100863"/>
    <x v="820"/>
    <n v="19.809999999999999"/>
    <x v="570"/>
    <d v="2024-11-29T00:00:00"/>
    <x v="4"/>
    <n v="688.34999999999991"/>
    <n v="103.25249999999998"/>
    <n v="585.09749999999997"/>
    <n v="3"/>
    <x v="635"/>
    <n v="0"/>
  </r>
  <r>
    <d v="2024-10-14T00:00:00"/>
    <x v="3"/>
    <x v="3"/>
    <x v="5"/>
    <n v="391.63"/>
    <s v="Store C"/>
    <x v="1"/>
    <n v="0"/>
    <x v="2"/>
    <n v="1174.8900000000001"/>
    <x v="3"/>
    <m/>
    <n v="1"/>
    <s v="REG100864"/>
    <x v="821"/>
    <n v="25.36"/>
    <x v="571"/>
    <d v="2024-10-17T00:00:00"/>
    <x v="3"/>
    <n v="1174.8899999999999"/>
    <n v="0"/>
    <n v="1174.8899999999999"/>
    <n v="3"/>
    <x v="0"/>
    <n v="0"/>
  </r>
  <r>
    <d v="2023-05-29T00:00:00"/>
    <x v="3"/>
    <x v="0"/>
    <x v="7"/>
    <n v="67.349999999999994"/>
    <s v="Store D"/>
    <x v="0"/>
    <n v="0.1"/>
    <x v="4"/>
    <n v="909.22499999999991"/>
    <x v="0"/>
    <s v="FREESHIP"/>
    <n v="0"/>
    <s v="REG100865"/>
    <x v="822"/>
    <n v="24.85"/>
    <x v="572"/>
    <d v="2023-06-03T00:00:00"/>
    <x v="3"/>
    <n v="1010.2499999999999"/>
    <n v="101.02499999999999"/>
    <n v="909.22499999999991"/>
    <n v="5"/>
    <x v="636"/>
    <n v="0"/>
  </r>
  <r>
    <d v="2024-03-22T00:00:00"/>
    <x v="3"/>
    <x v="0"/>
    <x v="16"/>
    <n v="453.86"/>
    <s v="Store B"/>
    <x v="1"/>
    <n v="0.15"/>
    <x v="1"/>
    <n v="2314.6860000000001"/>
    <x v="2"/>
    <m/>
    <n v="0"/>
    <s v="REG100866"/>
    <x v="823"/>
    <n v="45.32"/>
    <x v="124"/>
    <d v="2024-03-31T00:00:00"/>
    <x v="3"/>
    <n v="2723.16"/>
    <n v="408.47399999999999"/>
    <n v="2314.6859999999997"/>
    <n v="9"/>
    <x v="637"/>
    <n v="0"/>
  </r>
  <r>
    <d v="2023-04-22T00:00:00"/>
    <x v="1"/>
    <x v="5"/>
    <x v="8"/>
    <n v="537.70000000000005"/>
    <s v="Store D"/>
    <x v="0"/>
    <n v="0"/>
    <x v="5"/>
    <n v="10216.299999999999"/>
    <x v="0"/>
    <s v="SAVE10"/>
    <n v="0"/>
    <s v="REG100867"/>
    <x v="824"/>
    <n v="45.83"/>
    <x v="573"/>
    <d v="2023-05-02T00:00:00"/>
    <x v="1"/>
    <n v="10216.300000000001"/>
    <n v="0"/>
    <n v="10216.300000000001"/>
    <n v="10"/>
    <x v="0"/>
    <n v="0"/>
  </r>
  <r>
    <d v="2025-06-06T00:00:00"/>
    <x v="2"/>
    <x v="1"/>
    <x v="6"/>
    <n v="32.56"/>
    <s v="Store C"/>
    <x v="1"/>
    <n v="0.05"/>
    <x v="4"/>
    <n v="154.66"/>
    <x v="4"/>
    <s v="FREESHIP"/>
    <n v="0"/>
    <s v="REG100868"/>
    <x v="825"/>
    <n v="46.73"/>
    <x v="472"/>
    <d v="2025-06-12T00:00:00"/>
    <x v="2"/>
    <n v="162.80000000000001"/>
    <n v="8.14"/>
    <n v="154.66000000000003"/>
    <n v="6"/>
    <x v="638"/>
    <n v="0"/>
  </r>
  <r>
    <d v="2023-01-25T00:00:00"/>
    <x v="3"/>
    <x v="0"/>
    <x v="3"/>
    <n v="196.7"/>
    <s v="Store A"/>
    <x v="1"/>
    <n v="0"/>
    <x v="2"/>
    <n v="393.4"/>
    <x v="0"/>
    <s v="FREESHIP"/>
    <n v="0"/>
    <s v="REG100869"/>
    <x v="826"/>
    <n v="35.840000000000003"/>
    <x v="232"/>
    <d v="2023-01-29T00:00:00"/>
    <x v="3"/>
    <n v="393.4"/>
    <n v="0"/>
    <n v="393.4"/>
    <n v="4"/>
    <x v="0"/>
    <n v="0"/>
  </r>
  <r>
    <d v="2023-09-08T00:00:00"/>
    <x v="1"/>
    <x v="1"/>
    <x v="13"/>
    <n v="369.45"/>
    <s v="Store D"/>
    <x v="0"/>
    <n v="0.1"/>
    <x v="2"/>
    <n v="3990.06"/>
    <x v="2"/>
    <s v="WINTER15"/>
    <n v="1"/>
    <s v="REG100870"/>
    <x v="527"/>
    <n v="44.76"/>
    <x v="247"/>
    <d v="2023-09-10T00:00:00"/>
    <x v="1"/>
    <n v="4433.3999999999996"/>
    <n v="443.34"/>
    <n v="3990.0599999999995"/>
    <n v="2"/>
    <x v="639"/>
    <n v="0"/>
  </r>
  <r>
    <d v="2024-10-04T00:00:00"/>
    <x v="0"/>
    <x v="5"/>
    <x v="13"/>
    <n v="181.96"/>
    <s v="Store D"/>
    <x v="1"/>
    <n v="0.15"/>
    <x v="0"/>
    <n v="1855.992"/>
    <x v="1"/>
    <s v="WINTER15"/>
    <n v="0"/>
    <s v="REG100871"/>
    <x v="827"/>
    <n v="25.06"/>
    <x v="574"/>
    <d v="2024-10-11T00:00:00"/>
    <x v="0"/>
    <n v="2183.52"/>
    <n v="327.52799999999996"/>
    <n v="1855.992"/>
    <n v="7"/>
    <x v="640"/>
    <n v="0"/>
  </r>
  <r>
    <d v="2025-04-06T00:00:00"/>
    <x v="0"/>
    <x v="2"/>
    <x v="5"/>
    <n v="32.07"/>
    <s v="Store D"/>
    <x v="1"/>
    <n v="0.15"/>
    <x v="1"/>
    <n v="81.778500000000008"/>
    <x v="0"/>
    <s v="WINTER15"/>
    <n v="1"/>
    <s v="REG100872"/>
    <x v="828"/>
    <n v="43.18"/>
    <x v="575"/>
    <d v="2025-04-08T00:00:00"/>
    <x v="0"/>
    <n v="96.210000000000008"/>
    <n v="14.4315"/>
    <n v="81.778500000000008"/>
    <n v="2"/>
    <x v="641"/>
    <n v="0"/>
  </r>
  <r>
    <d v="2024-08-25T00:00:00"/>
    <x v="0"/>
    <x v="0"/>
    <x v="7"/>
    <n v="39.93"/>
    <s v="Store A"/>
    <x v="1"/>
    <n v="0.15"/>
    <x v="4"/>
    <n v="509.10750000000002"/>
    <x v="3"/>
    <s v="WINTER15"/>
    <n v="0"/>
    <s v="REG100873"/>
    <x v="829"/>
    <n v="33.44"/>
    <x v="225"/>
    <d v="2024-08-29T00:00:00"/>
    <x v="0"/>
    <n v="598.95000000000005"/>
    <n v="89.842500000000001"/>
    <n v="509.10750000000007"/>
    <n v="4"/>
    <x v="642"/>
    <n v="0"/>
  </r>
  <r>
    <d v="2024-03-06T00:00:00"/>
    <x v="2"/>
    <x v="1"/>
    <x v="4"/>
    <n v="374.43"/>
    <s v="Store A"/>
    <x v="1"/>
    <n v="0.15"/>
    <x v="3"/>
    <n v="2227.8584999999998"/>
    <x v="4"/>
    <s v="SAVE10"/>
    <n v="0"/>
    <s v="REG100874"/>
    <x v="830"/>
    <n v="28.97"/>
    <x v="491"/>
    <d v="2024-03-12T00:00:00"/>
    <x v="2"/>
    <n v="2621.0100000000002"/>
    <n v="393.1515"/>
    <n v="2227.8585000000003"/>
    <n v="6"/>
    <x v="643"/>
    <n v="0"/>
  </r>
  <r>
    <d v="2023-03-23T00:00:00"/>
    <x v="0"/>
    <x v="6"/>
    <x v="3"/>
    <n v="101.87"/>
    <s v="Store C"/>
    <x v="0"/>
    <n v="0"/>
    <x v="4"/>
    <n v="203.74"/>
    <x v="4"/>
    <s v="FREESHIP"/>
    <n v="0"/>
    <s v="REG100875"/>
    <x v="831"/>
    <n v="28.63"/>
    <x v="433"/>
    <d v="2023-03-26T00:00:00"/>
    <x v="0"/>
    <n v="203.74"/>
    <n v="0"/>
    <n v="203.74"/>
    <n v="3"/>
    <x v="0"/>
    <n v="0"/>
  </r>
  <r>
    <d v="2024-01-13T00:00:00"/>
    <x v="3"/>
    <x v="5"/>
    <x v="14"/>
    <n v="343.45"/>
    <s v="Store D"/>
    <x v="0"/>
    <n v="0.05"/>
    <x v="1"/>
    <n v="4241.6074999999992"/>
    <x v="1"/>
    <s v="SAVE10"/>
    <n v="0"/>
    <s v="REG100876"/>
    <x v="832"/>
    <n v="27.26"/>
    <x v="576"/>
    <d v="2024-01-17T00:00:00"/>
    <x v="3"/>
    <n v="4464.8499999999995"/>
    <n v="223.24249999999998"/>
    <n v="4241.6074999999992"/>
    <n v="4"/>
    <x v="644"/>
    <n v="0"/>
  </r>
  <r>
    <d v="2023-07-18T00:00:00"/>
    <x v="3"/>
    <x v="6"/>
    <x v="7"/>
    <n v="144.11000000000001"/>
    <s v="Store C"/>
    <x v="1"/>
    <n v="0"/>
    <x v="2"/>
    <n v="2161.65"/>
    <x v="1"/>
    <m/>
    <n v="0"/>
    <s v="REG100877"/>
    <x v="833"/>
    <n v="28.51"/>
    <x v="338"/>
    <d v="2023-07-24T00:00:00"/>
    <x v="3"/>
    <n v="2161.65"/>
    <n v="0"/>
    <n v="2161.65"/>
    <n v="6"/>
    <x v="0"/>
    <n v="0"/>
  </r>
  <r>
    <d v="2025-02-23T00:00:00"/>
    <x v="4"/>
    <x v="3"/>
    <x v="2"/>
    <n v="403.68"/>
    <s v="Store A"/>
    <x v="1"/>
    <n v="0.15"/>
    <x v="3"/>
    <n v="6176.3040000000001"/>
    <x v="4"/>
    <s v="FREESHIP"/>
    <n v="0"/>
    <s v="REG100878"/>
    <x v="834"/>
    <n v="13.09"/>
    <x v="577"/>
    <d v="2025-03-04T00:00:00"/>
    <x v="4"/>
    <n v="7266.24"/>
    <n v="1089.9359999999999"/>
    <n v="6176.3040000000001"/>
    <n v="9"/>
    <x v="645"/>
    <n v="0"/>
  </r>
  <r>
    <d v="2023-02-22T00:00:00"/>
    <x v="0"/>
    <x v="6"/>
    <x v="0"/>
    <n v="346.57"/>
    <s v="Store B"/>
    <x v="1"/>
    <n v="0.1"/>
    <x v="3"/>
    <n v="4366.7820000000002"/>
    <x v="3"/>
    <s v="FREESHIP"/>
    <n v="0"/>
    <s v="REG100879"/>
    <x v="835"/>
    <n v="36.83"/>
    <x v="429"/>
    <d v="2023-03-02T00:00:00"/>
    <x v="0"/>
    <n v="4851.9799999999996"/>
    <n v="485.19799999999998"/>
    <n v="4366.7819999999992"/>
    <n v="8"/>
    <x v="646"/>
    <n v="0"/>
  </r>
  <r>
    <d v="2024-10-18T00:00:00"/>
    <x v="2"/>
    <x v="6"/>
    <x v="4"/>
    <n v="392.79"/>
    <s v="Store C"/>
    <x v="0"/>
    <n v="0"/>
    <x v="0"/>
    <n v="2749.53"/>
    <x v="1"/>
    <s v="WINTER15"/>
    <n v="0"/>
    <s v="REG100880"/>
    <x v="836"/>
    <n v="45.85"/>
    <x v="578"/>
    <d v="2024-10-28T00:00:00"/>
    <x v="2"/>
    <n v="2749.53"/>
    <n v="0"/>
    <n v="2749.53"/>
    <n v="10"/>
    <x v="0"/>
    <n v="0"/>
  </r>
  <r>
    <d v="2023-10-26T00:00:00"/>
    <x v="4"/>
    <x v="6"/>
    <x v="18"/>
    <n v="70.83"/>
    <s v="Store B"/>
    <x v="0"/>
    <n v="0.05"/>
    <x v="3"/>
    <n v="1076.616"/>
    <x v="1"/>
    <m/>
    <n v="0"/>
    <s v="REG100881"/>
    <x v="837"/>
    <n v="5.05"/>
    <x v="71"/>
    <d v="2023-10-31T00:00:00"/>
    <x v="4"/>
    <n v="1133.28"/>
    <n v="56.664000000000001"/>
    <n v="1076.616"/>
    <n v="5"/>
    <x v="647"/>
    <n v="0"/>
  </r>
  <r>
    <d v="2023-01-10T00:00:00"/>
    <x v="3"/>
    <x v="4"/>
    <x v="11"/>
    <n v="274.37"/>
    <s v="Store B"/>
    <x v="1"/>
    <n v="0.1"/>
    <x v="0"/>
    <n v="4938.66"/>
    <x v="1"/>
    <s v="WINTER15"/>
    <n v="0"/>
    <s v="REG100882"/>
    <x v="273"/>
    <n v="12.28"/>
    <x v="579"/>
    <d v="2023-01-14T00:00:00"/>
    <x v="3"/>
    <n v="5487.4"/>
    <n v="548.74"/>
    <n v="4938.66"/>
    <n v="4"/>
    <x v="648"/>
    <n v="0"/>
  </r>
  <r>
    <d v="2024-03-19T00:00:00"/>
    <x v="3"/>
    <x v="2"/>
    <x v="12"/>
    <n v="19.73"/>
    <s v="Store D"/>
    <x v="1"/>
    <n v="0.1"/>
    <x v="3"/>
    <n v="177.57"/>
    <x v="3"/>
    <m/>
    <n v="0"/>
    <s v="REG100883"/>
    <x v="838"/>
    <n v="16.059999999999999"/>
    <x v="422"/>
    <d v="2024-03-22T00:00:00"/>
    <x v="3"/>
    <n v="197.3"/>
    <n v="19.730000000000004"/>
    <n v="177.57"/>
    <n v="3"/>
    <x v="649"/>
    <n v="0"/>
  </r>
  <r>
    <d v="2023-12-20T00:00:00"/>
    <x v="3"/>
    <x v="6"/>
    <x v="12"/>
    <n v="465.72"/>
    <s v="Store B"/>
    <x v="0"/>
    <n v="0.05"/>
    <x v="1"/>
    <n v="4424.34"/>
    <x v="0"/>
    <s v="FREESHIP"/>
    <n v="0"/>
    <s v="REG100884"/>
    <x v="839"/>
    <n v="28.14"/>
    <x v="580"/>
    <d v="2023-12-26T00:00:00"/>
    <x v="3"/>
    <n v="4657.2000000000007"/>
    <n v="232.86000000000004"/>
    <n v="4424.3400000000011"/>
    <n v="6"/>
    <x v="650"/>
    <n v="0"/>
  </r>
  <r>
    <d v="2024-12-09T00:00:00"/>
    <x v="3"/>
    <x v="4"/>
    <x v="8"/>
    <n v="62.07"/>
    <s v="Store D"/>
    <x v="1"/>
    <n v="0.1"/>
    <x v="4"/>
    <n v="1061.3969999999999"/>
    <x v="3"/>
    <s v="FREESHIP"/>
    <n v="0"/>
    <s v="REG100885"/>
    <x v="840"/>
    <n v="14.85"/>
    <x v="531"/>
    <d v="2024-12-19T00:00:00"/>
    <x v="3"/>
    <n v="1179.33"/>
    <n v="117.93299999999999"/>
    <n v="1061.3969999999999"/>
    <n v="10"/>
    <x v="651"/>
    <n v="0"/>
  </r>
  <r>
    <d v="2023-05-10T00:00:00"/>
    <x v="3"/>
    <x v="5"/>
    <x v="10"/>
    <n v="529.20000000000005"/>
    <s v="Store A"/>
    <x v="0"/>
    <n v="0.05"/>
    <x v="5"/>
    <n v="5530.14"/>
    <x v="2"/>
    <m/>
    <n v="1"/>
    <s v="REG100886"/>
    <x v="841"/>
    <n v="16.78"/>
    <x v="2"/>
    <d v="2023-05-20T00:00:00"/>
    <x v="3"/>
    <n v="5821.2000000000007"/>
    <n v="291.06000000000006"/>
    <n v="5530.14"/>
    <n v="10"/>
    <x v="652"/>
    <n v="0"/>
  </r>
  <r>
    <d v="2023-10-18T00:00:00"/>
    <x v="1"/>
    <x v="4"/>
    <x v="4"/>
    <n v="387.31"/>
    <s v="Store A"/>
    <x v="1"/>
    <n v="0.1"/>
    <x v="5"/>
    <n v="2440.0529999999999"/>
    <x v="4"/>
    <s v="WINTER15"/>
    <n v="0"/>
    <s v="REG100887"/>
    <x v="842"/>
    <n v="14.76"/>
    <x v="90"/>
    <d v="2023-10-21T00:00:00"/>
    <x v="1"/>
    <n v="2711.17"/>
    <n v="271.11700000000002"/>
    <n v="2440.0529999999999"/>
    <n v="3"/>
    <x v="653"/>
    <n v="0"/>
  </r>
  <r>
    <d v="2024-12-03T00:00:00"/>
    <x v="1"/>
    <x v="1"/>
    <x v="1"/>
    <n v="152.75"/>
    <s v="Store A"/>
    <x v="0"/>
    <n v="0"/>
    <x v="5"/>
    <n v="152.75"/>
    <x v="2"/>
    <s v="FREESHIP"/>
    <n v="1"/>
    <s v="REG100888"/>
    <x v="843"/>
    <n v="9.61"/>
    <x v="581"/>
    <d v="2024-12-06T00:00:00"/>
    <x v="1"/>
    <n v="152.75"/>
    <n v="0"/>
    <n v="152.75"/>
    <n v="3"/>
    <x v="0"/>
    <n v="0"/>
  </r>
  <r>
    <d v="2024-10-10T00:00:00"/>
    <x v="1"/>
    <x v="3"/>
    <x v="19"/>
    <n v="72.48"/>
    <s v="Store A"/>
    <x v="0"/>
    <n v="0.1"/>
    <x v="3"/>
    <n v="521.85599999999999"/>
    <x v="3"/>
    <m/>
    <n v="1"/>
    <s v="REG100889"/>
    <x v="844"/>
    <n v="26.92"/>
    <x v="268"/>
    <d v="2024-10-17T00:00:00"/>
    <x v="1"/>
    <n v="579.84"/>
    <n v="57.984000000000009"/>
    <n v="521.85599999999999"/>
    <n v="7"/>
    <x v="654"/>
    <n v="0"/>
  </r>
  <r>
    <d v="2024-06-03T00:00:00"/>
    <x v="0"/>
    <x v="1"/>
    <x v="15"/>
    <n v="194.09"/>
    <s v="Store D"/>
    <x v="0"/>
    <n v="0.1"/>
    <x v="0"/>
    <n v="698.72400000000005"/>
    <x v="2"/>
    <s v="WINTER15"/>
    <n v="0"/>
    <s v="REG100890"/>
    <x v="845"/>
    <n v="26.35"/>
    <x v="189"/>
    <d v="2024-06-07T00:00:00"/>
    <x v="0"/>
    <n v="776.36"/>
    <n v="77.63600000000001"/>
    <n v="698.72400000000005"/>
    <n v="4"/>
    <x v="655"/>
    <n v="0"/>
  </r>
  <r>
    <d v="2025-03-26T00:00:00"/>
    <x v="1"/>
    <x v="1"/>
    <x v="5"/>
    <n v="159.30000000000001"/>
    <s v="Store B"/>
    <x v="0"/>
    <n v="0.05"/>
    <x v="0"/>
    <n v="454.005"/>
    <x v="2"/>
    <s v="SAVE10"/>
    <n v="1"/>
    <s v="REG100891"/>
    <x v="846"/>
    <n v="45.34"/>
    <x v="582"/>
    <d v="2025-03-29T00:00:00"/>
    <x v="1"/>
    <n v="477.90000000000003"/>
    <n v="23.895000000000003"/>
    <n v="454.00500000000005"/>
    <n v="3"/>
    <x v="656"/>
    <n v="0"/>
  </r>
  <r>
    <d v="2024-04-26T00:00:00"/>
    <x v="2"/>
    <x v="4"/>
    <x v="15"/>
    <n v="303.37"/>
    <s v="Store A"/>
    <x v="1"/>
    <n v="0.1"/>
    <x v="3"/>
    <n v="1092.1320000000001"/>
    <x v="1"/>
    <s v="WINTER15"/>
    <n v="0"/>
    <s v="REG100892"/>
    <x v="847"/>
    <n v="30.19"/>
    <x v="478"/>
    <d v="2024-05-01T00:00:00"/>
    <x v="2"/>
    <n v="1213.48"/>
    <n v="121.34800000000001"/>
    <n v="1092.1320000000001"/>
    <n v="5"/>
    <x v="657"/>
    <n v="0"/>
  </r>
  <r>
    <d v="2023-05-05T00:00:00"/>
    <x v="4"/>
    <x v="3"/>
    <x v="18"/>
    <n v="541.96"/>
    <s v="Store C"/>
    <x v="1"/>
    <n v="0.1"/>
    <x v="0"/>
    <n v="7804.2240000000011"/>
    <x v="4"/>
    <s v="SAVE10"/>
    <n v="1"/>
    <s v="REG100893"/>
    <x v="848"/>
    <n v="9.93"/>
    <x v="583"/>
    <d v="2023-05-13T00:00:00"/>
    <x v="4"/>
    <n v="8671.36"/>
    <n v="867.13600000000008"/>
    <n v="7804.2240000000002"/>
    <n v="8"/>
    <x v="658"/>
    <n v="0"/>
  </r>
  <r>
    <d v="2023-09-23T00:00:00"/>
    <x v="4"/>
    <x v="2"/>
    <x v="4"/>
    <n v="41.57"/>
    <s v="Store D"/>
    <x v="1"/>
    <n v="0"/>
    <x v="3"/>
    <n v="290.99"/>
    <x v="0"/>
    <m/>
    <n v="0"/>
    <s v="REG100894"/>
    <x v="849"/>
    <n v="16.59"/>
    <x v="584"/>
    <d v="2023-09-29T00:00:00"/>
    <x v="4"/>
    <n v="290.99"/>
    <n v="0"/>
    <n v="290.99"/>
    <n v="6"/>
    <x v="0"/>
    <n v="0"/>
  </r>
  <r>
    <d v="2025-03-08T00:00:00"/>
    <x v="1"/>
    <x v="4"/>
    <x v="18"/>
    <n v="217.74"/>
    <s v="Store A"/>
    <x v="0"/>
    <n v="0.15"/>
    <x v="2"/>
    <n v="2961.2640000000001"/>
    <x v="4"/>
    <s v="FREESHIP"/>
    <n v="1"/>
    <s v="REG100895"/>
    <x v="850"/>
    <n v="25.11"/>
    <x v="251"/>
    <d v="2025-03-15T00:00:00"/>
    <x v="1"/>
    <n v="3483.84"/>
    <n v="522.57600000000002"/>
    <n v="2961.2640000000001"/>
    <n v="7"/>
    <x v="659"/>
    <n v="0"/>
  </r>
  <r>
    <d v="2023-01-17T00:00:00"/>
    <x v="2"/>
    <x v="6"/>
    <x v="7"/>
    <n v="19.170000000000002"/>
    <s v="Store A"/>
    <x v="0"/>
    <n v="0"/>
    <x v="3"/>
    <n v="287.55"/>
    <x v="1"/>
    <s v="FREESHIP"/>
    <n v="1"/>
    <s v="REG100896"/>
    <x v="851"/>
    <n v="48.93"/>
    <x v="585"/>
    <d v="2023-01-27T00:00:00"/>
    <x v="2"/>
    <n v="287.55"/>
    <n v="0"/>
    <n v="287.55"/>
    <n v="10"/>
    <x v="0"/>
    <n v="0"/>
  </r>
  <r>
    <d v="2023-04-29T00:00:00"/>
    <x v="3"/>
    <x v="4"/>
    <x v="7"/>
    <n v="293.33999999999997"/>
    <s v="Store D"/>
    <x v="1"/>
    <n v="0.1"/>
    <x v="0"/>
    <n v="3960.09"/>
    <x v="2"/>
    <s v="WINTER15"/>
    <n v="0"/>
    <s v="REG100897"/>
    <x v="852"/>
    <n v="21.03"/>
    <x v="431"/>
    <d v="2023-05-01T00:00:00"/>
    <x v="3"/>
    <n v="4400.0999999999995"/>
    <n v="440.01"/>
    <n v="3960.0899999999992"/>
    <n v="2"/>
    <x v="660"/>
    <n v="0"/>
  </r>
  <r>
    <d v="2025-02-16T00:00:00"/>
    <x v="1"/>
    <x v="6"/>
    <x v="2"/>
    <n v="204.58"/>
    <s v="Store C"/>
    <x v="1"/>
    <n v="0.1"/>
    <x v="4"/>
    <n v="3314.1959999999999"/>
    <x v="4"/>
    <m/>
    <n v="0"/>
    <s v="REG100898"/>
    <x v="853"/>
    <n v="16.04"/>
    <x v="586"/>
    <d v="2025-02-22T00:00:00"/>
    <x v="1"/>
    <n v="3682.44"/>
    <n v="368.24400000000003"/>
    <n v="3314.1959999999999"/>
    <n v="6"/>
    <x v="661"/>
    <n v="0"/>
  </r>
  <r>
    <d v="2023-06-05T00:00:00"/>
    <x v="0"/>
    <x v="6"/>
    <x v="7"/>
    <n v="324.58"/>
    <s v="Store A"/>
    <x v="1"/>
    <n v="0.15"/>
    <x v="4"/>
    <n v="4138.3950000000004"/>
    <x v="3"/>
    <m/>
    <n v="0"/>
    <s v="REG100899"/>
    <x v="854"/>
    <n v="24.57"/>
    <x v="587"/>
    <d v="2023-06-09T00:00:00"/>
    <x v="0"/>
    <n v="4868.7"/>
    <n v="730.30499999999995"/>
    <n v="4138.3949999999995"/>
    <n v="4"/>
    <x v="662"/>
    <n v="0"/>
  </r>
  <r>
    <d v="2023-08-28T00:00:00"/>
    <x v="1"/>
    <x v="1"/>
    <x v="10"/>
    <n v="393.61"/>
    <s v="Store D"/>
    <x v="0"/>
    <n v="0.05"/>
    <x v="2"/>
    <n v="4113.2245000000003"/>
    <x v="3"/>
    <s v="WINTER15"/>
    <n v="0"/>
    <s v="REG100900"/>
    <x v="855"/>
    <n v="32.57"/>
    <x v="228"/>
    <d v="2023-09-06T00:00:00"/>
    <x v="1"/>
    <n v="4329.71"/>
    <n v="216.4855"/>
    <n v="4113.2245000000003"/>
    <n v="9"/>
    <x v="663"/>
    <n v="0"/>
  </r>
  <r>
    <d v="2023-08-01T00:00:00"/>
    <x v="2"/>
    <x v="6"/>
    <x v="19"/>
    <n v="141.28"/>
    <s v="Store D"/>
    <x v="0"/>
    <n v="0.05"/>
    <x v="2"/>
    <n v="1073.7280000000001"/>
    <x v="0"/>
    <s v="FREESHIP"/>
    <n v="0"/>
    <s v="REG100901"/>
    <x v="702"/>
    <n v="28.69"/>
    <x v="588"/>
    <d v="2023-08-10T00:00:00"/>
    <x v="2"/>
    <n v="1130.24"/>
    <n v="56.512"/>
    <n v="1073.7280000000001"/>
    <n v="9"/>
    <x v="664"/>
    <n v="0"/>
  </r>
  <r>
    <d v="2025-02-12T00:00:00"/>
    <x v="4"/>
    <x v="1"/>
    <x v="14"/>
    <n v="227.64"/>
    <s v="Store C"/>
    <x v="1"/>
    <n v="0.15"/>
    <x v="2"/>
    <n v="2515.422"/>
    <x v="4"/>
    <s v="FREESHIP"/>
    <n v="1"/>
    <s v="REG100902"/>
    <x v="856"/>
    <n v="46.67"/>
    <x v="149"/>
    <d v="2025-02-20T00:00:00"/>
    <x v="4"/>
    <n v="2959.3199999999997"/>
    <n v="443.89799999999997"/>
    <n v="2515.4219999999996"/>
    <n v="8"/>
    <x v="665"/>
    <n v="0"/>
  </r>
  <r>
    <d v="2023-07-03T00:00:00"/>
    <x v="3"/>
    <x v="0"/>
    <x v="8"/>
    <n v="341.07"/>
    <s v="Store C"/>
    <x v="1"/>
    <n v="0.1"/>
    <x v="3"/>
    <n v="5832.2969999999996"/>
    <x v="4"/>
    <s v="WINTER15"/>
    <n v="0"/>
    <s v="REG100903"/>
    <x v="857"/>
    <n v="47.75"/>
    <x v="318"/>
    <d v="2023-07-06T00:00:00"/>
    <x v="3"/>
    <n v="6480.33"/>
    <n v="648.03300000000002"/>
    <n v="5832.2969999999996"/>
    <n v="3"/>
    <x v="666"/>
    <n v="0"/>
  </r>
  <r>
    <d v="2025-05-09T00:00:00"/>
    <x v="3"/>
    <x v="1"/>
    <x v="11"/>
    <n v="324.55"/>
    <s v="Store B"/>
    <x v="0"/>
    <n v="0.05"/>
    <x v="0"/>
    <n v="6166.45"/>
    <x v="2"/>
    <s v="WINTER15"/>
    <n v="1"/>
    <s v="REG100904"/>
    <x v="858"/>
    <n v="21.21"/>
    <x v="589"/>
    <d v="2025-05-13T00:00:00"/>
    <x v="3"/>
    <n v="6491"/>
    <n v="324.55"/>
    <n v="6166.45"/>
    <n v="4"/>
    <x v="667"/>
    <n v="0"/>
  </r>
  <r>
    <d v="2024-05-05T00:00:00"/>
    <x v="4"/>
    <x v="2"/>
    <x v="18"/>
    <n v="301.07"/>
    <s v="Store B"/>
    <x v="1"/>
    <n v="0.1"/>
    <x v="3"/>
    <n v="4335.4080000000004"/>
    <x v="1"/>
    <s v="WINTER15"/>
    <n v="0"/>
    <s v="REG100905"/>
    <x v="859"/>
    <n v="5.58"/>
    <x v="458"/>
    <d v="2024-05-14T00:00:00"/>
    <x v="4"/>
    <n v="4817.12"/>
    <n v="481.71199999999999"/>
    <n v="4335.4079999999994"/>
    <n v="9"/>
    <x v="668"/>
    <n v="0"/>
  </r>
  <r>
    <d v="2024-01-08T00:00:00"/>
    <x v="1"/>
    <x v="4"/>
    <x v="14"/>
    <n v="285.27999999999997"/>
    <s v="Store D"/>
    <x v="1"/>
    <n v="0"/>
    <x v="0"/>
    <n v="3708.639999999999"/>
    <x v="1"/>
    <s v="SAVE10"/>
    <n v="0"/>
    <s v="REG100906"/>
    <x v="860"/>
    <n v="31.2"/>
    <x v="590"/>
    <d v="2024-01-15T00:00:00"/>
    <x v="1"/>
    <n v="3708.6399999999994"/>
    <n v="0"/>
    <n v="3708.6399999999994"/>
    <n v="7"/>
    <x v="0"/>
    <n v="0"/>
  </r>
  <r>
    <d v="2025-01-13T00:00:00"/>
    <x v="1"/>
    <x v="1"/>
    <x v="7"/>
    <n v="18.04"/>
    <s v="Store C"/>
    <x v="0"/>
    <n v="0"/>
    <x v="0"/>
    <n v="270.60000000000002"/>
    <x v="2"/>
    <s v="SAVE10"/>
    <n v="1"/>
    <s v="REG100907"/>
    <x v="861"/>
    <n v="14.35"/>
    <x v="427"/>
    <d v="2025-01-17T00:00:00"/>
    <x v="1"/>
    <n v="270.59999999999997"/>
    <n v="0"/>
    <n v="270.59999999999997"/>
    <n v="4"/>
    <x v="0"/>
    <n v="0"/>
  </r>
  <r>
    <d v="2025-06-12T00:00:00"/>
    <x v="0"/>
    <x v="6"/>
    <x v="10"/>
    <n v="495.44"/>
    <s v="Store A"/>
    <x v="0"/>
    <n v="0"/>
    <x v="5"/>
    <n v="5449.84"/>
    <x v="1"/>
    <s v="FREESHIP"/>
    <n v="0"/>
    <s v="REG100908"/>
    <x v="862"/>
    <n v="44.77"/>
    <x v="103"/>
    <d v="2025-06-18T00:00:00"/>
    <x v="0"/>
    <n v="5449.84"/>
    <n v="0"/>
    <n v="5449.84"/>
    <n v="6"/>
    <x v="0"/>
    <n v="0"/>
  </r>
  <r>
    <d v="2025-04-03T00:00:00"/>
    <x v="2"/>
    <x v="0"/>
    <x v="13"/>
    <n v="276.42"/>
    <s v="Store C"/>
    <x v="1"/>
    <n v="0.15"/>
    <x v="3"/>
    <n v="2819.4839999999999"/>
    <x v="0"/>
    <m/>
    <n v="0"/>
    <s v="REG100909"/>
    <x v="863"/>
    <n v="30.57"/>
    <x v="591"/>
    <d v="2025-04-12T00:00:00"/>
    <x v="2"/>
    <n v="3317.04"/>
    <n v="497.55599999999998"/>
    <n v="2819.4839999999999"/>
    <n v="9"/>
    <x v="669"/>
    <n v="0"/>
  </r>
  <r>
    <d v="2023-01-26T00:00:00"/>
    <x v="3"/>
    <x v="2"/>
    <x v="4"/>
    <n v="228.32"/>
    <s v="Store C"/>
    <x v="0"/>
    <n v="0.15"/>
    <x v="0"/>
    <n v="1358.5039999999999"/>
    <x v="3"/>
    <s v="FREESHIP"/>
    <n v="0"/>
    <s v="REG100910"/>
    <x v="864"/>
    <n v="22.16"/>
    <x v="592"/>
    <d v="2023-01-30T00:00:00"/>
    <x v="3"/>
    <n v="1598.24"/>
    <n v="239.73599999999999"/>
    <n v="1358.5039999999999"/>
    <n v="4"/>
    <x v="670"/>
    <n v="0"/>
  </r>
  <r>
    <d v="2023-01-07T00:00:00"/>
    <x v="3"/>
    <x v="4"/>
    <x v="1"/>
    <n v="498.19"/>
    <s v="Store A"/>
    <x v="0"/>
    <n v="0.1"/>
    <x v="5"/>
    <n v="448.37099999999998"/>
    <x v="1"/>
    <s v="SAVE10"/>
    <n v="0"/>
    <s v="REG100911"/>
    <x v="865"/>
    <n v="25.55"/>
    <x v="455"/>
    <d v="2023-01-11T00:00:00"/>
    <x v="3"/>
    <n v="498.19"/>
    <n v="49.819000000000003"/>
    <n v="448.37099999999998"/>
    <n v="4"/>
    <x v="671"/>
    <n v="0"/>
  </r>
  <r>
    <d v="2025-01-15T00:00:00"/>
    <x v="2"/>
    <x v="2"/>
    <x v="2"/>
    <n v="375.83"/>
    <s v="Store C"/>
    <x v="1"/>
    <n v="0.1"/>
    <x v="3"/>
    <n v="6088.4459999999999"/>
    <x v="1"/>
    <m/>
    <n v="0"/>
    <s v="REG100912"/>
    <x v="866"/>
    <n v="15.13"/>
    <x v="593"/>
    <d v="2025-01-23T00:00:00"/>
    <x v="2"/>
    <n v="6764.94"/>
    <n v="676.49400000000003"/>
    <n v="6088.4459999999999"/>
    <n v="8"/>
    <x v="672"/>
    <n v="0"/>
  </r>
  <r>
    <d v="2024-11-30T00:00:00"/>
    <x v="0"/>
    <x v="3"/>
    <x v="2"/>
    <n v="130.36000000000001"/>
    <s v="Store B"/>
    <x v="0"/>
    <n v="0"/>
    <x v="4"/>
    <n v="2346.48"/>
    <x v="3"/>
    <s v="SAVE10"/>
    <n v="0"/>
    <s v="REG100913"/>
    <x v="867"/>
    <n v="34.6"/>
    <x v="594"/>
    <d v="2024-12-05T00:00:00"/>
    <x v="0"/>
    <n v="2346.4800000000005"/>
    <n v="0"/>
    <n v="2346.4800000000005"/>
    <n v="5"/>
    <x v="0"/>
    <n v="0"/>
  </r>
  <r>
    <d v="2024-02-26T00:00:00"/>
    <x v="0"/>
    <x v="4"/>
    <x v="14"/>
    <n v="585.88"/>
    <s v="Store B"/>
    <x v="1"/>
    <n v="0.15"/>
    <x v="3"/>
    <n v="6473.9739999999993"/>
    <x v="2"/>
    <s v="WINTER15"/>
    <n v="0"/>
    <s v="REG100914"/>
    <x v="868"/>
    <n v="42.18"/>
    <x v="361"/>
    <d v="2024-03-07T00:00:00"/>
    <x v="0"/>
    <n v="7616.44"/>
    <n v="1142.4659999999999"/>
    <n v="6473.9740000000002"/>
    <n v="10"/>
    <x v="673"/>
    <n v="0"/>
  </r>
  <r>
    <d v="2025-06-11T00:00:00"/>
    <x v="2"/>
    <x v="2"/>
    <x v="8"/>
    <n v="278.04000000000002"/>
    <s v="Store B"/>
    <x v="1"/>
    <n v="0.05"/>
    <x v="5"/>
    <n v="5018.6220000000003"/>
    <x v="2"/>
    <s v="SAVE10"/>
    <n v="0"/>
    <s v="REG100915"/>
    <x v="869"/>
    <n v="16.399999999999999"/>
    <x v="54"/>
    <d v="2025-06-15T00:00:00"/>
    <x v="2"/>
    <n v="5282.76"/>
    <n v="264.13800000000003"/>
    <n v="5018.6220000000003"/>
    <n v="4"/>
    <x v="674"/>
    <n v="0"/>
  </r>
  <r>
    <d v="2023-11-29T00:00:00"/>
    <x v="3"/>
    <x v="1"/>
    <x v="10"/>
    <n v="267.91000000000003"/>
    <s v="Store B"/>
    <x v="1"/>
    <n v="0"/>
    <x v="0"/>
    <n v="2947.01"/>
    <x v="3"/>
    <m/>
    <n v="0"/>
    <s v="REG100916"/>
    <x v="870"/>
    <n v="12.05"/>
    <x v="348"/>
    <d v="2023-12-04T00:00:00"/>
    <x v="3"/>
    <n v="2947.01"/>
    <n v="0"/>
    <n v="2947.01"/>
    <n v="5"/>
    <x v="0"/>
    <n v="0"/>
  </r>
  <r>
    <d v="2024-06-27T00:00:00"/>
    <x v="1"/>
    <x v="3"/>
    <x v="13"/>
    <n v="369.54"/>
    <s v="Store B"/>
    <x v="1"/>
    <n v="0.05"/>
    <x v="4"/>
    <n v="4212.7560000000003"/>
    <x v="3"/>
    <s v="WINTER15"/>
    <n v="1"/>
    <s v="REG100917"/>
    <x v="871"/>
    <n v="39.159999999999997"/>
    <x v="595"/>
    <d v="2024-07-05T00:00:00"/>
    <x v="1"/>
    <n v="4434.4800000000005"/>
    <n v="221.72400000000005"/>
    <n v="4212.7560000000003"/>
    <n v="8"/>
    <x v="675"/>
    <n v="0"/>
  </r>
  <r>
    <d v="2024-05-20T00:00:00"/>
    <x v="1"/>
    <x v="4"/>
    <x v="14"/>
    <n v="284.3"/>
    <s v="Store A"/>
    <x v="0"/>
    <n v="0.05"/>
    <x v="5"/>
    <n v="3511.105"/>
    <x v="0"/>
    <s v="WINTER15"/>
    <n v="0"/>
    <s v="REG100918"/>
    <x v="872"/>
    <n v="48.73"/>
    <x v="510"/>
    <d v="2024-05-27T00:00:00"/>
    <x v="1"/>
    <n v="3695.9"/>
    <n v="184.79500000000002"/>
    <n v="3511.105"/>
    <n v="7"/>
    <x v="676"/>
    <n v="0"/>
  </r>
  <r>
    <d v="2023-06-17T00:00:00"/>
    <x v="4"/>
    <x v="3"/>
    <x v="13"/>
    <n v="427.1"/>
    <s v="Store C"/>
    <x v="1"/>
    <n v="0"/>
    <x v="3"/>
    <n v="5125.2000000000007"/>
    <x v="1"/>
    <s v="WINTER15"/>
    <n v="1"/>
    <s v="REG100919"/>
    <x v="873"/>
    <n v="8.11"/>
    <x v="357"/>
    <d v="2023-06-22T00:00:00"/>
    <x v="4"/>
    <n v="5125.2000000000007"/>
    <n v="0"/>
    <n v="5125.2000000000007"/>
    <n v="5"/>
    <x v="0"/>
    <n v="0"/>
  </r>
  <r>
    <d v="2024-11-06T00:00:00"/>
    <x v="0"/>
    <x v="4"/>
    <x v="10"/>
    <n v="200.3"/>
    <s v="Store D"/>
    <x v="1"/>
    <n v="0.1"/>
    <x v="0"/>
    <n v="1982.97"/>
    <x v="3"/>
    <s v="WINTER15"/>
    <n v="1"/>
    <s v="REG100920"/>
    <x v="874"/>
    <n v="48.27"/>
    <x v="158"/>
    <d v="2024-11-13T00:00:00"/>
    <x v="0"/>
    <n v="2203.3000000000002"/>
    <n v="220.33000000000004"/>
    <n v="1982.9700000000003"/>
    <n v="7"/>
    <x v="677"/>
    <n v="0"/>
  </r>
  <r>
    <d v="2025-02-12T00:00:00"/>
    <x v="2"/>
    <x v="6"/>
    <x v="15"/>
    <n v="75.8"/>
    <s v="Store C"/>
    <x v="1"/>
    <n v="0.15"/>
    <x v="3"/>
    <n v="257.72000000000003"/>
    <x v="2"/>
    <s v="SAVE10"/>
    <n v="0"/>
    <s v="REG100921"/>
    <x v="875"/>
    <n v="12.22"/>
    <x v="149"/>
    <d v="2025-02-20T00:00:00"/>
    <x v="2"/>
    <n v="303.2"/>
    <n v="45.48"/>
    <n v="257.71999999999997"/>
    <n v="8"/>
    <x v="678"/>
    <n v="0"/>
  </r>
  <r>
    <d v="2025-04-09T00:00:00"/>
    <x v="2"/>
    <x v="4"/>
    <x v="15"/>
    <n v="518.42999999999995"/>
    <s v="Store A"/>
    <x v="0"/>
    <n v="0"/>
    <x v="1"/>
    <n v="2073.7199999999998"/>
    <x v="0"/>
    <s v="SAVE10"/>
    <n v="0"/>
    <s v="REG100922"/>
    <x v="580"/>
    <n v="30.86"/>
    <x v="320"/>
    <d v="2025-04-14T00:00:00"/>
    <x v="2"/>
    <n v="2073.7199999999998"/>
    <n v="0"/>
    <n v="2073.7199999999998"/>
    <n v="5"/>
    <x v="0"/>
    <n v="0"/>
  </r>
  <r>
    <d v="2024-08-18T00:00:00"/>
    <x v="2"/>
    <x v="5"/>
    <x v="8"/>
    <n v="181.18"/>
    <s v="Store A"/>
    <x v="0"/>
    <n v="0.05"/>
    <x v="3"/>
    <n v="3270.299"/>
    <x v="2"/>
    <s v="FREESHIP"/>
    <n v="0"/>
    <s v="REG100923"/>
    <x v="876"/>
    <n v="12.04"/>
    <x v="596"/>
    <d v="2024-08-26T00:00:00"/>
    <x v="2"/>
    <n v="3442.42"/>
    <n v="172.12100000000001"/>
    <n v="3270.299"/>
    <n v="8"/>
    <x v="679"/>
    <n v="0"/>
  </r>
  <r>
    <d v="2023-02-20T00:00:00"/>
    <x v="3"/>
    <x v="0"/>
    <x v="5"/>
    <n v="197.17"/>
    <s v="Store A"/>
    <x v="0"/>
    <n v="0.05"/>
    <x v="2"/>
    <n v="561.93449999999996"/>
    <x v="1"/>
    <s v="FREESHIP"/>
    <n v="1"/>
    <s v="REG100924"/>
    <x v="562"/>
    <n v="30.29"/>
    <x v="597"/>
    <d v="2023-02-23T00:00:00"/>
    <x v="3"/>
    <n v="591.51"/>
    <n v="29.575500000000002"/>
    <n v="561.93449999999996"/>
    <n v="3"/>
    <x v="680"/>
    <n v="0"/>
  </r>
  <r>
    <d v="2025-04-28T00:00:00"/>
    <x v="2"/>
    <x v="0"/>
    <x v="16"/>
    <n v="81.96"/>
    <s v="Store D"/>
    <x v="0"/>
    <n v="0.05"/>
    <x v="4"/>
    <n v="467.17200000000003"/>
    <x v="2"/>
    <s v="WINTER15"/>
    <n v="0"/>
    <s v="REG100925"/>
    <x v="877"/>
    <n v="26.43"/>
    <x v="598"/>
    <d v="2025-05-08T00:00:00"/>
    <x v="2"/>
    <n v="491.76"/>
    <n v="24.588000000000001"/>
    <n v="467.17199999999997"/>
    <n v="10"/>
    <x v="681"/>
    <n v="0"/>
  </r>
  <r>
    <d v="2023-08-10T00:00:00"/>
    <x v="3"/>
    <x v="6"/>
    <x v="5"/>
    <n v="59.78"/>
    <s v="Store C"/>
    <x v="1"/>
    <n v="0"/>
    <x v="0"/>
    <n v="179.34"/>
    <x v="0"/>
    <s v="SAVE10"/>
    <n v="0"/>
    <s v="REG100926"/>
    <x v="878"/>
    <n v="46.98"/>
    <x v="39"/>
    <d v="2023-08-13T00:00:00"/>
    <x v="3"/>
    <n v="179.34"/>
    <n v="0"/>
    <n v="179.34"/>
    <n v="3"/>
    <x v="0"/>
    <n v="0"/>
  </r>
  <r>
    <d v="2024-06-24T00:00:00"/>
    <x v="2"/>
    <x v="5"/>
    <x v="13"/>
    <n v="211.66"/>
    <s v="Store A"/>
    <x v="0"/>
    <n v="0.1"/>
    <x v="3"/>
    <n v="2285.9279999999999"/>
    <x v="2"/>
    <s v="SAVE10"/>
    <n v="0"/>
    <s v="REG100927"/>
    <x v="879"/>
    <n v="10.36"/>
    <x v="503"/>
    <d v="2024-06-29T00:00:00"/>
    <x v="2"/>
    <n v="2539.92"/>
    <n v="253.99200000000002"/>
    <n v="2285.9279999999999"/>
    <n v="5"/>
    <x v="682"/>
    <n v="0"/>
  </r>
  <r>
    <d v="2023-08-06T00:00:00"/>
    <x v="3"/>
    <x v="6"/>
    <x v="14"/>
    <n v="69.97"/>
    <s v="Store A"/>
    <x v="0"/>
    <n v="0.05"/>
    <x v="1"/>
    <n v="864.12950000000001"/>
    <x v="3"/>
    <m/>
    <n v="0"/>
    <s v="REG100928"/>
    <x v="880"/>
    <n v="27.66"/>
    <x v="23"/>
    <d v="2023-08-12T00:00:00"/>
    <x v="3"/>
    <n v="909.61"/>
    <n v="45.480500000000006"/>
    <n v="864.12950000000001"/>
    <n v="6"/>
    <x v="683"/>
    <n v="0"/>
  </r>
  <r>
    <d v="2024-11-26T00:00:00"/>
    <x v="0"/>
    <x v="5"/>
    <x v="4"/>
    <n v="438.33"/>
    <s v="Store C"/>
    <x v="1"/>
    <n v="0.1"/>
    <x v="2"/>
    <n v="2761.4789999999998"/>
    <x v="4"/>
    <m/>
    <n v="1"/>
    <s v="REG100929"/>
    <x v="549"/>
    <n v="11.57"/>
    <x v="570"/>
    <d v="2024-11-30T00:00:00"/>
    <x v="0"/>
    <n v="3068.31"/>
    <n v="306.83100000000002"/>
    <n v="2761.4789999999998"/>
    <n v="4"/>
    <x v="684"/>
    <n v="0"/>
  </r>
  <r>
    <d v="2025-02-06T00:00:00"/>
    <x v="0"/>
    <x v="0"/>
    <x v="4"/>
    <n v="241.81"/>
    <s v="Store C"/>
    <x v="0"/>
    <n v="0.1"/>
    <x v="1"/>
    <n v="1523.403"/>
    <x v="3"/>
    <s v="FREESHIP"/>
    <n v="0"/>
    <s v="REG100930"/>
    <x v="881"/>
    <n v="32.94"/>
    <x v="323"/>
    <d v="2025-02-10T00:00:00"/>
    <x v="0"/>
    <n v="1692.67"/>
    <n v="169.26700000000002"/>
    <n v="1523.403"/>
    <n v="4"/>
    <x v="685"/>
    <n v="0"/>
  </r>
  <r>
    <d v="2025-03-20T00:00:00"/>
    <x v="0"/>
    <x v="2"/>
    <x v="5"/>
    <n v="466.64"/>
    <s v="Store A"/>
    <x v="1"/>
    <n v="0.15"/>
    <x v="5"/>
    <n v="1189.932"/>
    <x v="0"/>
    <s v="FREESHIP"/>
    <n v="0"/>
    <s v="REG100931"/>
    <x v="882"/>
    <n v="30.33"/>
    <x v="192"/>
    <d v="2025-03-26T00:00:00"/>
    <x v="0"/>
    <n v="1399.92"/>
    <n v="209.988"/>
    <n v="1189.932"/>
    <n v="6"/>
    <x v="686"/>
    <n v="0"/>
  </r>
  <r>
    <d v="2024-09-10T00:00:00"/>
    <x v="1"/>
    <x v="4"/>
    <x v="17"/>
    <n v="472.84"/>
    <s v="Store D"/>
    <x v="1"/>
    <n v="0.05"/>
    <x v="1"/>
    <n v="4042.7819999999988"/>
    <x v="2"/>
    <s v="WINTER15"/>
    <n v="0"/>
    <s v="REG100932"/>
    <x v="883"/>
    <n v="48.13"/>
    <x v="328"/>
    <d v="2024-09-12T00:00:00"/>
    <x v="1"/>
    <n v="4255.5599999999995"/>
    <n v="212.77799999999999"/>
    <n v="4042.7819999999997"/>
    <n v="2"/>
    <x v="687"/>
    <n v="0"/>
  </r>
  <r>
    <d v="2025-02-20T00:00:00"/>
    <x v="1"/>
    <x v="3"/>
    <x v="8"/>
    <n v="586.49"/>
    <s v="Store A"/>
    <x v="0"/>
    <n v="0.1"/>
    <x v="0"/>
    <n v="10028.978999999999"/>
    <x v="4"/>
    <s v="SAVE10"/>
    <n v="0"/>
    <s v="REG100933"/>
    <x v="884"/>
    <n v="19.850000000000001"/>
    <x v="241"/>
    <d v="2025-03-02T00:00:00"/>
    <x v="1"/>
    <n v="11143.31"/>
    <n v="1114.3309999999999"/>
    <n v="10028.978999999999"/>
    <n v="10"/>
    <x v="688"/>
    <n v="0"/>
  </r>
  <r>
    <d v="2023-01-20T00:00:00"/>
    <x v="0"/>
    <x v="3"/>
    <x v="7"/>
    <n v="462.85"/>
    <s v="Store A"/>
    <x v="1"/>
    <n v="0.15"/>
    <x v="4"/>
    <n v="5901.3374999999996"/>
    <x v="2"/>
    <m/>
    <n v="0"/>
    <s v="REG100934"/>
    <x v="885"/>
    <n v="46.12"/>
    <x v="411"/>
    <d v="2023-01-26T00:00:00"/>
    <x v="0"/>
    <n v="6942.75"/>
    <n v="1041.4124999999999"/>
    <n v="5901.3374999999996"/>
    <n v="6"/>
    <x v="689"/>
    <n v="0"/>
  </r>
  <r>
    <d v="2024-03-03T00:00:00"/>
    <x v="0"/>
    <x v="0"/>
    <x v="1"/>
    <n v="176.17"/>
    <s v="Store C"/>
    <x v="1"/>
    <n v="0.05"/>
    <x v="1"/>
    <n v="167.36150000000001"/>
    <x v="3"/>
    <m/>
    <n v="1"/>
    <s v="REG100935"/>
    <x v="886"/>
    <n v="35.770000000000003"/>
    <x v="69"/>
    <d v="2024-03-06T00:00:00"/>
    <x v="0"/>
    <n v="176.17"/>
    <n v="8.8085000000000004"/>
    <n v="167.36149999999998"/>
    <n v="3"/>
    <x v="690"/>
    <n v="0"/>
  </r>
  <r>
    <d v="2023-11-27T00:00:00"/>
    <x v="4"/>
    <x v="6"/>
    <x v="1"/>
    <n v="71.239999999999995"/>
    <s v="Store A"/>
    <x v="1"/>
    <n v="0.1"/>
    <x v="3"/>
    <n v="64.116"/>
    <x v="3"/>
    <m/>
    <n v="1"/>
    <s v="REG100936"/>
    <x v="887"/>
    <n v="43.69"/>
    <x v="165"/>
    <d v="2023-12-03T00:00:00"/>
    <x v="4"/>
    <n v="71.239999999999995"/>
    <n v="7.1239999999999997"/>
    <n v="64.116"/>
    <n v="6"/>
    <x v="691"/>
    <n v="0"/>
  </r>
  <r>
    <d v="2024-11-10T00:00:00"/>
    <x v="0"/>
    <x v="0"/>
    <x v="16"/>
    <n v="62.43"/>
    <s v="Store A"/>
    <x v="0"/>
    <n v="0"/>
    <x v="4"/>
    <n v="374.58"/>
    <x v="1"/>
    <s v="WINTER15"/>
    <n v="0"/>
    <s v="REG100937"/>
    <x v="888"/>
    <n v="17.850000000000001"/>
    <x v="329"/>
    <d v="2024-11-18T00:00:00"/>
    <x v="0"/>
    <n v="374.58"/>
    <n v="0"/>
    <n v="374.58"/>
    <n v="8"/>
    <x v="0"/>
    <n v="0"/>
  </r>
  <r>
    <d v="2025-02-04T00:00:00"/>
    <x v="3"/>
    <x v="5"/>
    <x v="4"/>
    <n v="569.89"/>
    <s v="Store D"/>
    <x v="0"/>
    <n v="0.1"/>
    <x v="1"/>
    <n v="3590.3069999999998"/>
    <x v="4"/>
    <s v="SAVE10"/>
    <n v="0"/>
    <s v="REG100938"/>
    <x v="889"/>
    <n v="26.81"/>
    <x v="599"/>
    <d v="2025-02-08T00:00:00"/>
    <x v="3"/>
    <n v="3989.23"/>
    <n v="398.923"/>
    <n v="3590.3069999999998"/>
    <n v="4"/>
    <x v="692"/>
    <n v="0"/>
  </r>
  <r>
    <d v="2024-02-21T00:00:00"/>
    <x v="0"/>
    <x v="2"/>
    <x v="6"/>
    <n v="34.06"/>
    <s v="Store D"/>
    <x v="0"/>
    <n v="0.05"/>
    <x v="4"/>
    <n v="161.785"/>
    <x v="1"/>
    <m/>
    <n v="0"/>
    <s v="REG100939"/>
    <x v="890"/>
    <n v="19.72"/>
    <x v="600"/>
    <d v="2024-03-02T00:00:00"/>
    <x v="0"/>
    <n v="170.3"/>
    <n v="8.5150000000000006"/>
    <n v="161.78500000000003"/>
    <n v="10"/>
    <x v="693"/>
    <n v="0"/>
  </r>
  <r>
    <d v="2023-03-24T00:00:00"/>
    <x v="0"/>
    <x v="2"/>
    <x v="9"/>
    <n v="502.6"/>
    <s v="Store A"/>
    <x v="0"/>
    <n v="0.1"/>
    <x v="2"/>
    <n v="7689.7800000000007"/>
    <x v="4"/>
    <m/>
    <n v="0"/>
    <s v="REG100940"/>
    <x v="891"/>
    <n v="15.38"/>
    <x v="601"/>
    <d v="2023-03-29T00:00:00"/>
    <x v="0"/>
    <n v="8544.2000000000007"/>
    <n v="854.42000000000007"/>
    <n v="7689.7800000000007"/>
    <n v="5"/>
    <x v="694"/>
    <n v="0"/>
  </r>
  <r>
    <d v="2024-05-05T00:00:00"/>
    <x v="1"/>
    <x v="6"/>
    <x v="5"/>
    <n v="89.72"/>
    <s v="Store D"/>
    <x v="0"/>
    <n v="0.1"/>
    <x v="1"/>
    <n v="242.244"/>
    <x v="1"/>
    <s v="WINTER15"/>
    <n v="0"/>
    <s v="REG100941"/>
    <x v="892"/>
    <n v="32.67"/>
    <x v="458"/>
    <d v="2024-05-13T00:00:00"/>
    <x v="1"/>
    <n v="269.15999999999997"/>
    <n v="26.915999999999997"/>
    <n v="242.24399999999997"/>
    <n v="8"/>
    <x v="695"/>
    <n v="0"/>
  </r>
  <r>
    <d v="2024-10-04T00:00:00"/>
    <x v="1"/>
    <x v="0"/>
    <x v="2"/>
    <n v="403.53"/>
    <s v="Store D"/>
    <x v="0"/>
    <n v="0.1"/>
    <x v="1"/>
    <n v="6537.1859999999997"/>
    <x v="0"/>
    <m/>
    <n v="0"/>
    <s v="REG100942"/>
    <x v="893"/>
    <n v="35.729999999999997"/>
    <x v="574"/>
    <d v="2024-10-07T00:00:00"/>
    <x v="1"/>
    <n v="7263.5399999999991"/>
    <n v="726.35399999999993"/>
    <n v="6537.1859999999988"/>
    <n v="3"/>
    <x v="696"/>
    <n v="0"/>
  </r>
  <r>
    <d v="2025-01-04T00:00:00"/>
    <x v="1"/>
    <x v="3"/>
    <x v="3"/>
    <n v="194.97"/>
    <s v="Store A"/>
    <x v="1"/>
    <n v="0"/>
    <x v="4"/>
    <n v="389.94"/>
    <x v="2"/>
    <s v="SAVE10"/>
    <n v="0"/>
    <s v="REG100943"/>
    <x v="381"/>
    <n v="9.89"/>
    <x v="602"/>
    <d v="2025-01-14T00:00:00"/>
    <x v="1"/>
    <n v="389.94"/>
    <n v="0"/>
    <n v="389.94"/>
    <n v="10"/>
    <x v="0"/>
    <n v="0"/>
  </r>
  <r>
    <d v="2024-12-23T00:00:00"/>
    <x v="3"/>
    <x v="6"/>
    <x v="13"/>
    <n v="171.91"/>
    <s v="Store B"/>
    <x v="1"/>
    <n v="0.05"/>
    <x v="0"/>
    <n v="1959.7739999999999"/>
    <x v="2"/>
    <s v="WINTER15"/>
    <n v="0"/>
    <s v="REG100944"/>
    <x v="894"/>
    <n v="34.36"/>
    <x v="473"/>
    <d v="2025-01-02T00:00:00"/>
    <x v="3"/>
    <n v="2062.92"/>
    <n v="103.14600000000002"/>
    <n v="1959.7740000000001"/>
    <n v="10"/>
    <x v="697"/>
    <n v="0"/>
  </r>
  <r>
    <d v="2023-01-29T00:00:00"/>
    <x v="3"/>
    <x v="0"/>
    <x v="9"/>
    <n v="535.88"/>
    <s v="Store A"/>
    <x v="0"/>
    <n v="0.05"/>
    <x v="5"/>
    <n v="8654.4619999999995"/>
    <x v="1"/>
    <m/>
    <n v="0"/>
    <s v="REG100945"/>
    <x v="895"/>
    <n v="26.12"/>
    <x v="603"/>
    <d v="2023-02-08T00:00:00"/>
    <x v="3"/>
    <n v="9109.9599999999991"/>
    <n v="455.49799999999999"/>
    <n v="8654.4619999999995"/>
    <n v="10"/>
    <x v="698"/>
    <n v="0"/>
  </r>
  <r>
    <d v="2024-08-11T00:00:00"/>
    <x v="4"/>
    <x v="3"/>
    <x v="13"/>
    <n v="248.13"/>
    <s v="Store A"/>
    <x v="1"/>
    <n v="0.05"/>
    <x v="1"/>
    <n v="2828.6819999999998"/>
    <x v="4"/>
    <s v="FREESHIP"/>
    <n v="0"/>
    <s v="REG100946"/>
    <x v="896"/>
    <n v="26.03"/>
    <x v="111"/>
    <d v="2024-08-17T00:00:00"/>
    <x v="4"/>
    <n v="2977.56"/>
    <n v="148.87800000000001"/>
    <n v="2828.6819999999998"/>
    <n v="6"/>
    <x v="699"/>
    <n v="0"/>
  </r>
  <r>
    <d v="2023-11-25T00:00:00"/>
    <x v="2"/>
    <x v="1"/>
    <x v="3"/>
    <n v="482.1"/>
    <s v="Store C"/>
    <x v="1"/>
    <n v="0"/>
    <x v="3"/>
    <n v="964.2"/>
    <x v="0"/>
    <s v="FREESHIP"/>
    <n v="0"/>
    <s v="REG100947"/>
    <x v="897"/>
    <n v="45.35"/>
    <x v="425"/>
    <d v="2023-11-30T00:00:00"/>
    <x v="2"/>
    <n v="964.2"/>
    <n v="0"/>
    <n v="964.2"/>
    <n v="5"/>
    <x v="0"/>
    <n v="0"/>
  </r>
  <r>
    <d v="2025-03-04T00:00:00"/>
    <x v="2"/>
    <x v="4"/>
    <x v="2"/>
    <n v="382.01"/>
    <s v="Store D"/>
    <x v="0"/>
    <n v="0.1"/>
    <x v="1"/>
    <n v="6188.5620000000008"/>
    <x v="0"/>
    <s v="SAVE10"/>
    <n v="0"/>
    <s v="REG100948"/>
    <x v="898"/>
    <n v="36.549999999999997"/>
    <x v="155"/>
    <d v="2025-03-08T00:00:00"/>
    <x v="2"/>
    <n v="6876.18"/>
    <n v="687.61800000000005"/>
    <n v="6188.5619999999999"/>
    <n v="4"/>
    <x v="700"/>
    <n v="0"/>
  </r>
  <r>
    <d v="2025-02-21T00:00:00"/>
    <x v="2"/>
    <x v="1"/>
    <x v="14"/>
    <n v="135.97999999999999"/>
    <s v="Store C"/>
    <x v="0"/>
    <n v="0"/>
    <x v="2"/>
    <n v="1767.74"/>
    <x v="0"/>
    <s v="WINTER15"/>
    <n v="0"/>
    <s v="REG100949"/>
    <x v="751"/>
    <n v="28.35"/>
    <x v="383"/>
    <d v="2025-03-01T00:00:00"/>
    <x v="2"/>
    <n v="1767.7399999999998"/>
    <n v="0"/>
    <n v="1767.7399999999998"/>
    <n v="8"/>
    <x v="0"/>
    <n v="0"/>
  </r>
  <r>
    <d v="2025-02-26T00:00:00"/>
    <x v="0"/>
    <x v="2"/>
    <x v="17"/>
    <n v="562.54"/>
    <s v="Store A"/>
    <x v="0"/>
    <n v="0"/>
    <x v="1"/>
    <n v="5062.8599999999997"/>
    <x v="2"/>
    <s v="FREESHIP"/>
    <n v="0"/>
    <s v="REG100950"/>
    <x v="899"/>
    <n v="30.27"/>
    <x v="3"/>
    <d v="2025-02-28T00:00:00"/>
    <x v="0"/>
    <n v="5062.8599999999997"/>
    <n v="0"/>
    <n v="5062.8599999999997"/>
    <n v="2"/>
    <x v="0"/>
    <n v="0"/>
  </r>
  <r>
    <d v="2024-03-29T00:00:00"/>
    <x v="0"/>
    <x v="4"/>
    <x v="16"/>
    <n v="509.48"/>
    <s v="Store B"/>
    <x v="0"/>
    <n v="0"/>
    <x v="1"/>
    <n v="3056.88"/>
    <x v="3"/>
    <s v="WINTER15"/>
    <n v="0"/>
    <s v="REG100951"/>
    <x v="900"/>
    <n v="35.92"/>
    <x v="604"/>
    <d v="2024-04-06T00:00:00"/>
    <x v="0"/>
    <n v="3056.88"/>
    <n v="0"/>
    <n v="3056.88"/>
    <n v="8"/>
    <x v="0"/>
    <n v="0"/>
  </r>
  <r>
    <d v="2025-05-28T00:00:00"/>
    <x v="4"/>
    <x v="2"/>
    <x v="5"/>
    <n v="470.09"/>
    <s v="Store B"/>
    <x v="0"/>
    <n v="0"/>
    <x v="0"/>
    <n v="1410.27"/>
    <x v="1"/>
    <m/>
    <n v="0"/>
    <s v="REG100952"/>
    <x v="901"/>
    <n v="38.29"/>
    <x v="605"/>
    <d v="2025-06-01T00:00:00"/>
    <x v="4"/>
    <n v="1410.27"/>
    <n v="0"/>
    <n v="1410.27"/>
    <n v="4"/>
    <x v="0"/>
    <n v="0"/>
  </r>
  <r>
    <d v="2024-05-24T00:00:00"/>
    <x v="4"/>
    <x v="6"/>
    <x v="12"/>
    <n v="280.8"/>
    <s v="Store C"/>
    <x v="1"/>
    <n v="0"/>
    <x v="1"/>
    <n v="2808"/>
    <x v="2"/>
    <s v="SAVE10"/>
    <n v="0"/>
    <s v="REG100953"/>
    <x v="902"/>
    <n v="49.98"/>
    <x v="606"/>
    <d v="2024-05-30T00:00:00"/>
    <x v="4"/>
    <n v="2808"/>
    <n v="0"/>
    <n v="2808"/>
    <n v="6"/>
    <x v="0"/>
    <n v="0"/>
  </r>
  <r>
    <d v="2023-05-12T00:00:00"/>
    <x v="1"/>
    <x v="3"/>
    <x v="17"/>
    <n v="251.43"/>
    <s v="Store C"/>
    <x v="1"/>
    <n v="0.1"/>
    <x v="2"/>
    <n v="2036.5830000000001"/>
    <x v="2"/>
    <m/>
    <n v="0"/>
    <s v="REG100954"/>
    <x v="903"/>
    <n v="22.57"/>
    <x v="551"/>
    <d v="2023-05-17T00:00:00"/>
    <x v="1"/>
    <n v="2262.87"/>
    <n v="226.28700000000001"/>
    <n v="2036.5829999999999"/>
    <n v="5"/>
    <x v="701"/>
    <n v="0"/>
  </r>
  <r>
    <d v="2023-10-11T00:00:00"/>
    <x v="1"/>
    <x v="1"/>
    <x v="15"/>
    <n v="408.28"/>
    <s v="Store A"/>
    <x v="1"/>
    <n v="0.15"/>
    <x v="1"/>
    <n v="1388.152"/>
    <x v="4"/>
    <s v="WINTER15"/>
    <n v="0"/>
    <s v="REG100955"/>
    <x v="684"/>
    <n v="5.38"/>
    <x v="535"/>
    <d v="2023-10-15T00:00:00"/>
    <x v="1"/>
    <n v="1633.12"/>
    <n v="244.96799999999996"/>
    <n v="1388.152"/>
    <n v="4"/>
    <x v="702"/>
    <n v="0"/>
  </r>
  <r>
    <d v="2024-01-25T00:00:00"/>
    <x v="2"/>
    <x v="6"/>
    <x v="3"/>
    <n v="27.43"/>
    <s v="Store B"/>
    <x v="1"/>
    <n v="0.15"/>
    <x v="2"/>
    <n v="46.631"/>
    <x v="0"/>
    <s v="WINTER15"/>
    <n v="0"/>
    <s v="REG100956"/>
    <x v="904"/>
    <n v="6.15"/>
    <x v="109"/>
    <d v="2024-02-01T00:00:00"/>
    <x v="2"/>
    <n v="54.86"/>
    <n v="8.2289999999999992"/>
    <n v="46.631"/>
    <n v="7"/>
    <x v="703"/>
    <n v="0"/>
  </r>
  <r>
    <d v="2023-02-03T00:00:00"/>
    <x v="0"/>
    <x v="1"/>
    <x v="10"/>
    <n v="321.72000000000003"/>
    <s v="Store A"/>
    <x v="1"/>
    <n v="0.1"/>
    <x v="3"/>
    <n v="3185.0279999999998"/>
    <x v="0"/>
    <s v="WINTER15"/>
    <n v="1"/>
    <s v="REG100957"/>
    <x v="905"/>
    <n v="17.940000000000001"/>
    <x v="151"/>
    <d v="2023-02-06T00:00:00"/>
    <x v="0"/>
    <n v="3538.92"/>
    <n v="353.89200000000005"/>
    <n v="3185.0280000000002"/>
    <n v="3"/>
    <x v="704"/>
    <n v="0"/>
  </r>
  <r>
    <d v="2024-07-08T00:00:00"/>
    <x v="2"/>
    <x v="2"/>
    <x v="6"/>
    <n v="186.32"/>
    <s v="Store A"/>
    <x v="0"/>
    <n v="0.1"/>
    <x v="3"/>
    <n v="838.43999999999994"/>
    <x v="1"/>
    <s v="WINTER15"/>
    <n v="0"/>
    <s v="REG100958"/>
    <x v="124"/>
    <n v="17.09"/>
    <x v="172"/>
    <d v="2024-07-14T00:00:00"/>
    <x v="2"/>
    <n v="931.59999999999991"/>
    <n v="93.16"/>
    <n v="838.43999999999994"/>
    <n v="6"/>
    <x v="705"/>
    <n v="0"/>
  </r>
  <r>
    <d v="2025-05-31T00:00:00"/>
    <x v="1"/>
    <x v="4"/>
    <x v="5"/>
    <n v="390.28"/>
    <s v="Store B"/>
    <x v="1"/>
    <n v="0"/>
    <x v="2"/>
    <n v="1170.8399999999999"/>
    <x v="0"/>
    <s v="WINTER15"/>
    <n v="1"/>
    <s v="REG100959"/>
    <x v="906"/>
    <n v="45.22"/>
    <x v="534"/>
    <d v="2025-06-10T00:00:00"/>
    <x v="1"/>
    <n v="1170.8399999999999"/>
    <n v="0"/>
    <n v="1170.8399999999999"/>
    <n v="10"/>
    <x v="0"/>
    <n v="0"/>
  </r>
  <r>
    <d v="2023-11-09T00:00:00"/>
    <x v="1"/>
    <x v="4"/>
    <x v="14"/>
    <n v="174.9"/>
    <s v="Store A"/>
    <x v="0"/>
    <n v="0.15"/>
    <x v="3"/>
    <n v="1932.645"/>
    <x v="0"/>
    <s v="WINTER15"/>
    <n v="0"/>
    <s v="REG100960"/>
    <x v="907"/>
    <n v="31.26"/>
    <x v="254"/>
    <d v="2023-11-12T00:00:00"/>
    <x v="1"/>
    <n v="2273.7000000000003"/>
    <n v="341.05500000000001"/>
    <n v="1932.6450000000002"/>
    <n v="3"/>
    <x v="706"/>
    <n v="0"/>
  </r>
  <r>
    <d v="2023-07-06T00:00:00"/>
    <x v="2"/>
    <x v="3"/>
    <x v="19"/>
    <n v="419.13"/>
    <s v="Store A"/>
    <x v="1"/>
    <n v="0.1"/>
    <x v="1"/>
    <n v="3017.7359999999999"/>
    <x v="0"/>
    <m/>
    <n v="1"/>
    <s v="REG100961"/>
    <x v="908"/>
    <n v="11.02"/>
    <x v="607"/>
    <d v="2023-07-10T00:00:00"/>
    <x v="2"/>
    <n v="3353.04"/>
    <n v="335.30400000000003"/>
    <n v="3017.7359999999999"/>
    <n v="4"/>
    <x v="707"/>
    <n v="0"/>
  </r>
  <r>
    <d v="2023-07-14T00:00:00"/>
    <x v="2"/>
    <x v="3"/>
    <x v="13"/>
    <n v="116.96"/>
    <s v="Store D"/>
    <x v="0"/>
    <n v="0"/>
    <x v="1"/>
    <n v="1403.52"/>
    <x v="1"/>
    <s v="WINTER15"/>
    <n v="0"/>
    <s v="REG100962"/>
    <x v="909"/>
    <n v="22.04"/>
    <x v="123"/>
    <d v="2023-07-22T00:00:00"/>
    <x v="2"/>
    <n v="1403.52"/>
    <n v="0"/>
    <n v="1403.52"/>
    <n v="8"/>
    <x v="0"/>
    <n v="0"/>
  </r>
  <r>
    <d v="2023-11-13T00:00:00"/>
    <x v="4"/>
    <x v="3"/>
    <x v="10"/>
    <n v="323.72000000000003"/>
    <s v="Store A"/>
    <x v="0"/>
    <n v="0.1"/>
    <x v="5"/>
    <n v="3204.828"/>
    <x v="1"/>
    <s v="WINTER15"/>
    <n v="0"/>
    <s v="REG100963"/>
    <x v="910"/>
    <n v="7.52"/>
    <x v="327"/>
    <d v="2023-11-15T00:00:00"/>
    <x v="4"/>
    <n v="3560.92"/>
    <n v="356.09200000000004"/>
    <n v="3204.828"/>
    <n v="2"/>
    <x v="708"/>
    <n v="0"/>
  </r>
  <r>
    <d v="2025-02-02T00:00:00"/>
    <x v="4"/>
    <x v="5"/>
    <x v="10"/>
    <n v="155.49"/>
    <s v="Store D"/>
    <x v="1"/>
    <n v="0.05"/>
    <x v="2"/>
    <n v="1624.8705"/>
    <x v="4"/>
    <m/>
    <n v="0"/>
    <s v="REG100964"/>
    <x v="911"/>
    <n v="47.01"/>
    <x v="170"/>
    <d v="2025-02-12T00:00:00"/>
    <x v="4"/>
    <n v="1710.39"/>
    <n v="85.519500000000008"/>
    <n v="1624.8705"/>
    <n v="10"/>
    <x v="709"/>
    <n v="0"/>
  </r>
  <r>
    <d v="2024-05-06T00:00:00"/>
    <x v="1"/>
    <x v="6"/>
    <x v="11"/>
    <n v="270.2"/>
    <s v="Store A"/>
    <x v="0"/>
    <n v="0"/>
    <x v="4"/>
    <n v="5404"/>
    <x v="2"/>
    <s v="WINTER15"/>
    <n v="0"/>
    <s v="REG100965"/>
    <x v="912"/>
    <n v="6.8"/>
    <x v="563"/>
    <d v="2024-05-15T00:00:00"/>
    <x v="1"/>
    <n v="5404"/>
    <n v="0"/>
    <n v="5404"/>
    <n v="9"/>
    <x v="0"/>
    <n v="0"/>
  </r>
  <r>
    <d v="2024-10-17T00:00:00"/>
    <x v="1"/>
    <x v="6"/>
    <x v="7"/>
    <n v="482.08"/>
    <s v="Store D"/>
    <x v="1"/>
    <n v="0.1"/>
    <x v="0"/>
    <n v="6508.08"/>
    <x v="3"/>
    <s v="FREESHIP"/>
    <n v="1"/>
    <s v="REG100966"/>
    <x v="588"/>
    <n v="13.35"/>
    <x v="386"/>
    <d v="2024-10-19T00:00:00"/>
    <x v="1"/>
    <n v="7231.2"/>
    <n v="723.12"/>
    <n v="6508.08"/>
    <n v="2"/>
    <x v="710"/>
    <n v="0"/>
  </r>
  <r>
    <d v="2025-01-29T00:00:00"/>
    <x v="2"/>
    <x v="0"/>
    <x v="10"/>
    <n v="431.51"/>
    <s v="Store C"/>
    <x v="0"/>
    <n v="0.1"/>
    <x v="3"/>
    <n v="4271.9489999999996"/>
    <x v="3"/>
    <s v="SAVE10"/>
    <n v="0"/>
    <s v="REG100967"/>
    <x v="913"/>
    <n v="22.83"/>
    <x v="608"/>
    <d v="2025-02-05T00:00:00"/>
    <x v="2"/>
    <n v="4746.6099999999997"/>
    <n v="474.661"/>
    <n v="4271.9489999999996"/>
    <n v="7"/>
    <x v="711"/>
    <n v="0"/>
  </r>
  <r>
    <d v="2025-03-23T00:00:00"/>
    <x v="3"/>
    <x v="3"/>
    <x v="6"/>
    <n v="302.76"/>
    <s v="Store D"/>
    <x v="0"/>
    <n v="0"/>
    <x v="3"/>
    <n v="1513.8"/>
    <x v="1"/>
    <s v="FREESHIP"/>
    <n v="1"/>
    <s v="REG100968"/>
    <x v="914"/>
    <n v="46.69"/>
    <x v="609"/>
    <d v="2025-03-29T00:00:00"/>
    <x v="3"/>
    <n v="1513.8"/>
    <n v="0"/>
    <n v="1513.8"/>
    <n v="6"/>
    <x v="0"/>
    <n v="0"/>
  </r>
  <r>
    <d v="2024-04-11T00:00:00"/>
    <x v="4"/>
    <x v="3"/>
    <x v="8"/>
    <n v="344.92"/>
    <s v="Store C"/>
    <x v="0"/>
    <n v="0"/>
    <x v="0"/>
    <n v="6553.48"/>
    <x v="4"/>
    <s v="WINTER15"/>
    <n v="0"/>
    <s v="REG100969"/>
    <x v="915"/>
    <n v="6.91"/>
    <x v="610"/>
    <d v="2024-04-20T00:00:00"/>
    <x v="4"/>
    <n v="6553.4800000000005"/>
    <n v="0"/>
    <n v="6553.4800000000005"/>
    <n v="9"/>
    <x v="0"/>
    <n v="0"/>
  </r>
  <r>
    <d v="2024-05-03T00:00:00"/>
    <x v="3"/>
    <x v="3"/>
    <x v="4"/>
    <n v="511.46"/>
    <s v="Store C"/>
    <x v="1"/>
    <n v="0.1"/>
    <x v="0"/>
    <n v="3222.1979999999999"/>
    <x v="4"/>
    <s v="FREESHIP"/>
    <n v="0"/>
    <s v="REG100970"/>
    <x v="916"/>
    <n v="19.2"/>
    <x v="80"/>
    <d v="2024-05-12T00:00:00"/>
    <x v="3"/>
    <n v="3580.22"/>
    <n v="358.02199999999999"/>
    <n v="3222.1979999999999"/>
    <n v="9"/>
    <x v="712"/>
    <n v="0"/>
  </r>
  <r>
    <d v="2024-10-14T00:00:00"/>
    <x v="0"/>
    <x v="4"/>
    <x v="4"/>
    <n v="150.6"/>
    <s v="Store A"/>
    <x v="0"/>
    <n v="0.15"/>
    <x v="5"/>
    <n v="896.07"/>
    <x v="4"/>
    <s v="WINTER15"/>
    <n v="1"/>
    <s v="REG100971"/>
    <x v="917"/>
    <n v="15.52"/>
    <x v="571"/>
    <d v="2024-10-21T00:00:00"/>
    <x v="0"/>
    <n v="1054.2"/>
    <n v="158.13"/>
    <n v="896.07"/>
    <n v="7"/>
    <x v="713"/>
    <n v="0"/>
  </r>
  <r>
    <d v="2024-02-08T00:00:00"/>
    <x v="4"/>
    <x v="1"/>
    <x v="19"/>
    <n v="158.02000000000001"/>
    <s v="Store C"/>
    <x v="0"/>
    <n v="0.15"/>
    <x v="4"/>
    <n v="1074.5360000000001"/>
    <x v="2"/>
    <s v="FREESHIP"/>
    <n v="0"/>
    <s v="REG100972"/>
    <x v="918"/>
    <n v="47.43"/>
    <x v="279"/>
    <d v="2024-02-13T00:00:00"/>
    <x v="4"/>
    <n v="1264.1600000000001"/>
    <n v="189.624"/>
    <n v="1074.5360000000001"/>
    <n v="5"/>
    <x v="714"/>
    <n v="0"/>
  </r>
  <r>
    <d v="2023-05-10T00:00:00"/>
    <x v="3"/>
    <x v="5"/>
    <x v="3"/>
    <n v="536.17999999999995"/>
    <s v="Store B"/>
    <x v="1"/>
    <n v="0.1"/>
    <x v="2"/>
    <n v="965.12399999999991"/>
    <x v="2"/>
    <s v="FREESHIP"/>
    <n v="0"/>
    <s v="REG100973"/>
    <x v="919"/>
    <n v="34.75"/>
    <x v="2"/>
    <d v="2023-05-13T00:00:00"/>
    <x v="3"/>
    <n v="1072.3599999999999"/>
    <n v="107.23599999999999"/>
    <n v="965.12399999999991"/>
    <n v="3"/>
    <x v="715"/>
    <n v="0"/>
  </r>
  <r>
    <d v="2023-03-03T00:00:00"/>
    <x v="2"/>
    <x v="3"/>
    <x v="18"/>
    <n v="571.26"/>
    <s v="Store C"/>
    <x v="0"/>
    <n v="0.15"/>
    <x v="5"/>
    <n v="7769.1360000000004"/>
    <x v="1"/>
    <s v="SAVE10"/>
    <n v="0"/>
    <s v="REG100974"/>
    <x v="920"/>
    <n v="6.13"/>
    <x v="21"/>
    <d v="2023-03-12T00:00:00"/>
    <x v="2"/>
    <n v="9140.16"/>
    <n v="1371.0239999999999"/>
    <n v="7769.1360000000004"/>
    <n v="9"/>
    <x v="716"/>
    <n v="0"/>
  </r>
  <r>
    <d v="2025-05-21T00:00:00"/>
    <x v="3"/>
    <x v="5"/>
    <x v="13"/>
    <n v="134.41999999999999"/>
    <s v="Store D"/>
    <x v="1"/>
    <n v="0.1"/>
    <x v="4"/>
    <n v="1451.7360000000001"/>
    <x v="1"/>
    <s v="FREESHIP"/>
    <n v="0"/>
    <s v="REG100975"/>
    <x v="714"/>
    <n v="33.979999999999997"/>
    <x v="83"/>
    <d v="2025-05-27T00:00:00"/>
    <x v="3"/>
    <n v="1613.04"/>
    <n v="161.304"/>
    <n v="1451.7359999999999"/>
    <n v="6"/>
    <x v="717"/>
    <n v="0"/>
  </r>
  <r>
    <d v="2025-04-30T00:00:00"/>
    <x v="3"/>
    <x v="0"/>
    <x v="6"/>
    <n v="563.70000000000005"/>
    <s v="Store A"/>
    <x v="1"/>
    <n v="0"/>
    <x v="5"/>
    <n v="2818.5"/>
    <x v="0"/>
    <s v="SAVE10"/>
    <n v="0"/>
    <s v="REG100976"/>
    <x v="921"/>
    <n v="29.28"/>
    <x v="611"/>
    <d v="2025-05-07T00:00:00"/>
    <x v="3"/>
    <n v="2818.5"/>
    <n v="0"/>
    <n v="2818.5"/>
    <n v="7"/>
    <x v="0"/>
    <n v="0"/>
  </r>
  <r>
    <d v="2023-04-02T00:00:00"/>
    <x v="2"/>
    <x v="1"/>
    <x v="10"/>
    <n v="546.57000000000005"/>
    <s v="Store D"/>
    <x v="1"/>
    <n v="0.15"/>
    <x v="5"/>
    <n v="5110.4295000000002"/>
    <x v="2"/>
    <s v="SAVE10"/>
    <n v="1"/>
    <s v="REG100977"/>
    <x v="922"/>
    <n v="24.77"/>
    <x v="612"/>
    <d v="2023-04-04T00:00:00"/>
    <x v="2"/>
    <n v="6012.27"/>
    <n v="901.84050000000002"/>
    <n v="5110.4295000000002"/>
    <n v="2"/>
    <x v="718"/>
    <n v="0"/>
  </r>
  <r>
    <d v="2024-08-26T00:00:00"/>
    <x v="2"/>
    <x v="4"/>
    <x v="17"/>
    <n v="364.88"/>
    <s v="Store C"/>
    <x v="0"/>
    <n v="0.05"/>
    <x v="5"/>
    <n v="3119.7240000000002"/>
    <x v="4"/>
    <s v="SAVE10"/>
    <n v="0"/>
    <s v="REG100978"/>
    <x v="279"/>
    <n v="40.26"/>
    <x v="98"/>
    <d v="2024-09-05T00:00:00"/>
    <x v="2"/>
    <n v="3283.92"/>
    <n v="164.19600000000003"/>
    <n v="3119.7240000000002"/>
    <n v="10"/>
    <x v="719"/>
    <n v="0"/>
  </r>
  <r>
    <d v="2023-11-10T00:00:00"/>
    <x v="1"/>
    <x v="4"/>
    <x v="4"/>
    <n v="368.27"/>
    <s v="Store C"/>
    <x v="0"/>
    <n v="0.15"/>
    <x v="3"/>
    <n v="2191.2064999999998"/>
    <x v="0"/>
    <s v="WINTER15"/>
    <n v="0"/>
    <s v="REG100979"/>
    <x v="923"/>
    <n v="28.98"/>
    <x v="613"/>
    <d v="2023-11-20T00:00:00"/>
    <x v="1"/>
    <n v="2577.89"/>
    <n v="386.68349999999998"/>
    <n v="2191.2064999999998"/>
    <n v="10"/>
    <x v="720"/>
    <n v="0"/>
  </r>
  <r>
    <d v="2025-01-27T00:00:00"/>
    <x v="3"/>
    <x v="6"/>
    <x v="11"/>
    <n v="537.28"/>
    <s v="Store C"/>
    <x v="0"/>
    <n v="0"/>
    <x v="2"/>
    <n v="10745.6"/>
    <x v="0"/>
    <m/>
    <n v="1"/>
    <s v="REG100980"/>
    <x v="924"/>
    <n v="15.6"/>
    <x v="614"/>
    <d v="2025-02-02T00:00:00"/>
    <x v="3"/>
    <n v="10745.599999999999"/>
    <n v="0"/>
    <n v="10745.599999999999"/>
    <n v="6"/>
    <x v="0"/>
    <n v="0"/>
  </r>
  <r>
    <d v="2024-04-26T00:00:00"/>
    <x v="1"/>
    <x v="1"/>
    <x v="5"/>
    <n v="103.09"/>
    <s v="Store D"/>
    <x v="0"/>
    <n v="0"/>
    <x v="3"/>
    <n v="309.27"/>
    <x v="1"/>
    <s v="SAVE10"/>
    <n v="1"/>
    <s v="REG100981"/>
    <x v="925"/>
    <n v="46.47"/>
    <x v="478"/>
    <d v="2024-04-30T00:00:00"/>
    <x v="1"/>
    <n v="309.27"/>
    <n v="0"/>
    <n v="309.27"/>
    <n v="4"/>
    <x v="0"/>
    <n v="0"/>
  </r>
  <r>
    <d v="2023-11-27T00:00:00"/>
    <x v="0"/>
    <x v="5"/>
    <x v="17"/>
    <n v="97.56"/>
    <s v="Store A"/>
    <x v="0"/>
    <n v="0"/>
    <x v="1"/>
    <n v="878.04"/>
    <x v="0"/>
    <m/>
    <n v="0"/>
    <s v="REG100982"/>
    <x v="926"/>
    <n v="48.84"/>
    <x v="165"/>
    <d v="2023-12-01T00:00:00"/>
    <x v="0"/>
    <n v="878.04"/>
    <n v="0"/>
    <n v="878.04"/>
    <n v="4"/>
    <x v="0"/>
    <n v="0"/>
  </r>
  <r>
    <d v="2023-03-30T00:00:00"/>
    <x v="3"/>
    <x v="5"/>
    <x v="12"/>
    <n v="338.75"/>
    <s v="Store A"/>
    <x v="0"/>
    <n v="0.15"/>
    <x v="3"/>
    <n v="2879.375"/>
    <x v="4"/>
    <s v="WINTER15"/>
    <n v="1"/>
    <s v="REG100983"/>
    <x v="927"/>
    <n v="36.56"/>
    <x v="306"/>
    <d v="2023-04-06T00:00:00"/>
    <x v="3"/>
    <n v="3387.5"/>
    <n v="508.125"/>
    <n v="2879.375"/>
    <n v="7"/>
    <x v="721"/>
    <n v="0"/>
  </r>
  <r>
    <d v="2024-03-04T00:00:00"/>
    <x v="2"/>
    <x v="2"/>
    <x v="3"/>
    <n v="239.04"/>
    <s v="Store A"/>
    <x v="0"/>
    <n v="0"/>
    <x v="5"/>
    <n v="478.08"/>
    <x v="3"/>
    <s v="SAVE10"/>
    <n v="1"/>
    <s v="REG100984"/>
    <x v="928"/>
    <n v="43.84"/>
    <x v="615"/>
    <d v="2024-03-11T00:00:00"/>
    <x v="2"/>
    <n v="478.08"/>
    <n v="0"/>
    <n v="478.08"/>
    <n v="7"/>
    <x v="0"/>
    <n v="0"/>
  </r>
  <r>
    <d v="2023-07-11T00:00:00"/>
    <x v="1"/>
    <x v="0"/>
    <x v="0"/>
    <n v="362.44"/>
    <s v="Store C"/>
    <x v="0"/>
    <n v="0.1"/>
    <x v="5"/>
    <n v="4566.7439999999997"/>
    <x v="4"/>
    <s v="WINTER15"/>
    <n v="0"/>
    <s v="REG100985"/>
    <x v="929"/>
    <n v="36.729999999999997"/>
    <x v="445"/>
    <d v="2023-07-15T00:00:00"/>
    <x v="1"/>
    <n v="5074.16"/>
    <n v="507.416"/>
    <n v="4566.7439999999997"/>
    <n v="4"/>
    <x v="722"/>
    <n v="0"/>
  </r>
  <r>
    <d v="2024-09-20T00:00:00"/>
    <x v="4"/>
    <x v="4"/>
    <x v="16"/>
    <n v="551.13"/>
    <s v="Store D"/>
    <x v="1"/>
    <n v="0"/>
    <x v="3"/>
    <n v="3306.78"/>
    <x v="1"/>
    <s v="FREESHIP"/>
    <n v="0"/>
    <s v="REG100986"/>
    <x v="930"/>
    <n v="14.67"/>
    <x v="246"/>
    <d v="2024-09-29T00:00:00"/>
    <x v="4"/>
    <n v="3306.7799999999997"/>
    <n v="0"/>
    <n v="3306.7799999999997"/>
    <n v="9"/>
    <x v="0"/>
    <n v="0"/>
  </r>
  <r>
    <d v="2025-02-18T00:00:00"/>
    <x v="4"/>
    <x v="0"/>
    <x v="1"/>
    <n v="82.06"/>
    <s v="Store D"/>
    <x v="1"/>
    <n v="0.1"/>
    <x v="0"/>
    <n v="73.853999999999999"/>
    <x v="2"/>
    <s v="FREESHIP"/>
    <n v="0"/>
    <s v="REG100987"/>
    <x v="931"/>
    <n v="11.11"/>
    <x v="616"/>
    <d v="2025-02-24T00:00:00"/>
    <x v="4"/>
    <n v="82.06"/>
    <n v="8.2060000000000013"/>
    <n v="73.853999999999999"/>
    <n v="6"/>
    <x v="723"/>
    <n v="0"/>
  </r>
  <r>
    <d v="2024-07-16T00:00:00"/>
    <x v="0"/>
    <x v="5"/>
    <x v="4"/>
    <n v="498.46"/>
    <s v="Store C"/>
    <x v="0"/>
    <n v="0.15"/>
    <x v="3"/>
    <n v="2965.837"/>
    <x v="1"/>
    <m/>
    <n v="0"/>
    <s v="REG100988"/>
    <x v="932"/>
    <n v="42.72"/>
    <x v="617"/>
    <d v="2024-07-20T00:00:00"/>
    <x v="0"/>
    <n v="3489.22"/>
    <n v="523.38299999999992"/>
    <n v="2965.837"/>
    <n v="4"/>
    <x v="724"/>
    <n v="0"/>
  </r>
  <r>
    <d v="2023-11-23T00:00:00"/>
    <x v="0"/>
    <x v="3"/>
    <x v="3"/>
    <n v="253.41"/>
    <s v="Store D"/>
    <x v="1"/>
    <n v="0.1"/>
    <x v="2"/>
    <n v="456.13799999999998"/>
    <x v="4"/>
    <s v="FREESHIP"/>
    <n v="0"/>
    <s v="REG100989"/>
    <x v="933"/>
    <n v="49.64"/>
    <x v="488"/>
    <d v="2023-11-25T00:00:00"/>
    <x v="0"/>
    <n v="506.82"/>
    <n v="50.682000000000002"/>
    <n v="456.13799999999998"/>
    <n v="2"/>
    <x v="725"/>
    <n v="0"/>
  </r>
  <r>
    <d v="2023-09-07T00:00:00"/>
    <x v="1"/>
    <x v="1"/>
    <x v="18"/>
    <n v="144.07"/>
    <s v="Store D"/>
    <x v="0"/>
    <n v="0.1"/>
    <x v="0"/>
    <n v="2074.6080000000002"/>
    <x v="3"/>
    <s v="FREESHIP"/>
    <n v="0"/>
    <s v="REG100990"/>
    <x v="934"/>
    <n v="7.33"/>
    <x v="288"/>
    <d v="2023-09-09T00:00:00"/>
    <x v="1"/>
    <n v="2305.12"/>
    <n v="230.512"/>
    <n v="2074.6079999999997"/>
    <n v="2"/>
    <x v="726"/>
    <n v="0"/>
  </r>
  <r>
    <d v="2024-02-01T00:00:00"/>
    <x v="4"/>
    <x v="4"/>
    <x v="10"/>
    <n v="201.09"/>
    <s v="Store C"/>
    <x v="1"/>
    <n v="0.15"/>
    <x v="3"/>
    <n v="1880.1914999999999"/>
    <x v="4"/>
    <m/>
    <n v="1"/>
    <s v="REG100991"/>
    <x v="935"/>
    <n v="48.42"/>
    <x v="618"/>
    <d v="2024-02-04T00:00:00"/>
    <x v="4"/>
    <n v="2211.9900000000002"/>
    <n v="331.79850000000005"/>
    <n v="1880.1915000000001"/>
    <n v="3"/>
    <x v="727"/>
    <n v="0"/>
  </r>
  <r>
    <d v="2025-05-08T00:00:00"/>
    <x v="1"/>
    <x v="3"/>
    <x v="10"/>
    <n v="585.45000000000005"/>
    <s v="Store D"/>
    <x v="0"/>
    <n v="0.1"/>
    <x v="1"/>
    <n v="5795.9550000000008"/>
    <x v="2"/>
    <s v="WINTER15"/>
    <n v="0"/>
    <s v="REG100992"/>
    <x v="936"/>
    <n v="36.590000000000003"/>
    <x v="33"/>
    <d v="2025-05-12T00:00:00"/>
    <x v="1"/>
    <n v="6439.9500000000007"/>
    <n v="643.99500000000012"/>
    <n v="5795.9550000000008"/>
    <n v="4"/>
    <x v="728"/>
    <n v="0"/>
  </r>
  <r>
    <d v="2025-01-17T00:00:00"/>
    <x v="2"/>
    <x v="0"/>
    <x v="5"/>
    <n v="448.77"/>
    <s v="Store A"/>
    <x v="1"/>
    <n v="0"/>
    <x v="1"/>
    <n v="1346.31"/>
    <x v="0"/>
    <s v="FREESHIP"/>
    <n v="0"/>
    <s v="REG100993"/>
    <x v="582"/>
    <n v="28.5"/>
    <x v="50"/>
    <d v="2025-01-24T00:00:00"/>
    <x v="2"/>
    <n v="1346.31"/>
    <n v="0"/>
    <n v="1346.31"/>
    <n v="7"/>
    <x v="0"/>
    <n v="0"/>
  </r>
  <r>
    <d v="2023-09-02T00:00:00"/>
    <x v="0"/>
    <x v="4"/>
    <x v="17"/>
    <n v="184.43"/>
    <s v="Store D"/>
    <x v="0"/>
    <n v="0"/>
    <x v="3"/>
    <n v="1659.87"/>
    <x v="0"/>
    <s v="WINTER15"/>
    <n v="0"/>
    <s v="REG100994"/>
    <x v="937"/>
    <n v="30.78"/>
    <x v="447"/>
    <d v="2023-09-08T00:00:00"/>
    <x v="0"/>
    <n v="1659.8700000000001"/>
    <n v="0"/>
    <n v="1659.8700000000001"/>
    <n v="6"/>
    <x v="0"/>
    <n v="0"/>
  </r>
  <r>
    <d v="2023-06-23T00:00:00"/>
    <x v="3"/>
    <x v="0"/>
    <x v="18"/>
    <n v="594.1"/>
    <s v="Store D"/>
    <x v="1"/>
    <n v="0"/>
    <x v="5"/>
    <n v="9505.6"/>
    <x v="1"/>
    <s v="FREESHIP"/>
    <n v="0"/>
    <s v="REG100995"/>
    <x v="938"/>
    <n v="18.2"/>
    <x v="366"/>
    <d v="2023-07-01T00:00:00"/>
    <x v="3"/>
    <n v="9505.6"/>
    <n v="0"/>
    <n v="9505.6"/>
    <n v="8"/>
    <x v="0"/>
    <n v="0"/>
  </r>
  <r>
    <d v="2024-01-20T00:00:00"/>
    <x v="0"/>
    <x v="0"/>
    <x v="8"/>
    <n v="482.07"/>
    <s v="Store B"/>
    <x v="0"/>
    <n v="0.1"/>
    <x v="5"/>
    <n v="8243.3970000000008"/>
    <x v="2"/>
    <m/>
    <n v="0"/>
    <s v="REG100996"/>
    <x v="939"/>
    <n v="25.96"/>
    <x v="619"/>
    <d v="2024-01-26T00:00:00"/>
    <x v="0"/>
    <n v="9159.33"/>
    <n v="915.93299999999999"/>
    <n v="8243.3970000000008"/>
    <n v="6"/>
    <x v="729"/>
    <n v="0"/>
  </r>
  <r>
    <d v="2024-06-26T00:00:00"/>
    <x v="0"/>
    <x v="3"/>
    <x v="11"/>
    <n v="75.45"/>
    <s v="Store B"/>
    <x v="0"/>
    <n v="0.05"/>
    <x v="0"/>
    <n v="1433.55"/>
    <x v="2"/>
    <s v="SAVE10"/>
    <n v="0"/>
    <s v="REG100997"/>
    <x v="109"/>
    <n v="44.77"/>
    <x v="620"/>
    <d v="2024-07-06T00:00:00"/>
    <x v="0"/>
    <n v="1509"/>
    <n v="75.45"/>
    <n v="1433.55"/>
    <n v="10"/>
    <x v="730"/>
    <n v="0"/>
  </r>
  <r>
    <d v="2024-12-12T00:00:00"/>
    <x v="3"/>
    <x v="4"/>
    <x v="3"/>
    <n v="494.22"/>
    <s v="Store C"/>
    <x v="1"/>
    <n v="0.1"/>
    <x v="3"/>
    <n v="889.59600000000012"/>
    <x v="1"/>
    <s v="FREESHIP"/>
    <n v="0"/>
    <s v="REG100998"/>
    <x v="940"/>
    <n v="13.45"/>
    <x v="621"/>
    <d v="2024-12-17T00:00:00"/>
    <x v="3"/>
    <n v="988.44"/>
    <n v="98.844000000000008"/>
    <n v="889.596"/>
    <n v="5"/>
    <x v="731"/>
    <n v="0"/>
  </r>
  <r>
    <d v="2024-02-21T00:00:00"/>
    <x v="0"/>
    <x v="0"/>
    <x v="7"/>
    <n v="112.82"/>
    <s v="Store B"/>
    <x v="0"/>
    <n v="0.05"/>
    <x v="2"/>
    <n v="1607.6849999999999"/>
    <x v="2"/>
    <s v="WINTER15"/>
    <n v="0"/>
    <s v="REG100999"/>
    <x v="941"/>
    <n v="18.21"/>
    <x v="600"/>
    <d v="2024-03-01T00:00:00"/>
    <x v="0"/>
    <n v="1692.3"/>
    <n v="84.615000000000009"/>
    <n v="1607.6849999999999"/>
    <n v="9"/>
    <x v="732"/>
    <n v="0"/>
  </r>
  <r>
    <d v="2023-07-18T00:00:00"/>
    <x v="0"/>
    <x v="2"/>
    <x v="5"/>
    <n v="121.56"/>
    <s v="Store D"/>
    <x v="0"/>
    <n v="0"/>
    <x v="0"/>
    <n v="364.68"/>
    <x v="3"/>
    <s v="WINTER15"/>
    <n v="0"/>
    <s v="REG101000"/>
    <x v="942"/>
    <n v="29.06"/>
    <x v="338"/>
    <d v="2023-07-25T00:00:00"/>
    <x v="0"/>
    <n v="364.68"/>
    <n v="0"/>
    <n v="364.68"/>
    <n v="7"/>
    <x v="0"/>
    <n v="0"/>
  </r>
  <r>
    <d v="2024-10-02T00:00:00"/>
    <x v="2"/>
    <x v="2"/>
    <x v="13"/>
    <n v="465.94"/>
    <s v="Store D"/>
    <x v="0"/>
    <n v="0"/>
    <x v="1"/>
    <n v="5591.28"/>
    <x v="2"/>
    <s v="WINTER15"/>
    <n v="0"/>
    <s v="REG101001"/>
    <x v="943"/>
    <n v="34.159999999999997"/>
    <x v="352"/>
    <d v="2024-10-06T00:00:00"/>
    <x v="2"/>
    <n v="5591.28"/>
    <n v="0"/>
    <n v="5591.28"/>
    <n v="4"/>
    <x v="0"/>
    <n v="0"/>
  </r>
  <r>
    <d v="2024-12-01T00:00:00"/>
    <x v="4"/>
    <x v="1"/>
    <x v="13"/>
    <n v="187.8"/>
    <s v="Store D"/>
    <x v="0"/>
    <n v="0.15"/>
    <x v="4"/>
    <n v="1915.56"/>
    <x v="0"/>
    <s v="FREESHIP"/>
    <n v="0"/>
    <s v="REG101002"/>
    <x v="944"/>
    <n v="17.739999999999998"/>
    <x v="622"/>
    <d v="2024-12-04T00:00:00"/>
    <x v="4"/>
    <n v="2253.6000000000004"/>
    <n v="338.04"/>
    <n v="1915.5600000000004"/>
    <n v="3"/>
    <x v="733"/>
    <n v="0"/>
  </r>
  <r>
    <d v="2024-09-03T00:00:00"/>
    <x v="0"/>
    <x v="2"/>
    <x v="1"/>
    <n v="561.29999999999995"/>
    <s v="Store D"/>
    <x v="1"/>
    <n v="0.15"/>
    <x v="2"/>
    <n v="477.10500000000002"/>
    <x v="1"/>
    <m/>
    <n v="0"/>
    <s v="REG101003"/>
    <x v="945"/>
    <n v="5.19"/>
    <x v="623"/>
    <d v="2024-09-12T00:00:00"/>
    <x v="0"/>
    <n v="561.29999999999995"/>
    <n v="84.194999999999993"/>
    <n v="477.10499999999996"/>
    <n v="9"/>
    <x v="734"/>
    <n v="0"/>
  </r>
  <r>
    <d v="2025-02-22T00:00:00"/>
    <x v="4"/>
    <x v="6"/>
    <x v="4"/>
    <n v="178.26"/>
    <s v="Store C"/>
    <x v="1"/>
    <n v="0.15"/>
    <x v="5"/>
    <n v="1060.6469999999999"/>
    <x v="0"/>
    <s v="FREESHIP"/>
    <n v="0"/>
    <s v="REG101004"/>
    <x v="946"/>
    <n v="44.91"/>
    <x v="624"/>
    <d v="2025-03-01T00:00:00"/>
    <x v="4"/>
    <n v="1247.82"/>
    <n v="187.17299999999997"/>
    <n v="1060.6469999999999"/>
    <n v="7"/>
    <x v="735"/>
    <n v="0"/>
  </r>
  <r>
    <d v="2025-05-11T00:00:00"/>
    <x v="4"/>
    <x v="4"/>
    <x v="11"/>
    <n v="552.83000000000004"/>
    <s v="Store D"/>
    <x v="1"/>
    <n v="0.15"/>
    <x v="0"/>
    <n v="9398.11"/>
    <x v="0"/>
    <s v="FREESHIP"/>
    <n v="1"/>
    <s v="REG101005"/>
    <x v="947"/>
    <n v="20.5"/>
    <x v="15"/>
    <d v="2025-05-13T00:00:00"/>
    <x v="4"/>
    <n v="11056.6"/>
    <n v="1658.49"/>
    <n v="9398.11"/>
    <n v="2"/>
    <x v="736"/>
    <n v="0"/>
  </r>
  <r>
    <d v="2024-12-20T00:00:00"/>
    <x v="3"/>
    <x v="5"/>
    <x v="3"/>
    <n v="458.25"/>
    <s v="Store B"/>
    <x v="0"/>
    <n v="0"/>
    <x v="0"/>
    <n v="916.5"/>
    <x v="1"/>
    <s v="SAVE10"/>
    <n v="0"/>
    <s v="REG101006"/>
    <x v="948"/>
    <n v="25.94"/>
    <x v="529"/>
    <d v="2024-12-29T00:00:00"/>
    <x v="3"/>
    <n v="916.5"/>
    <n v="0"/>
    <n v="916.5"/>
    <n v="9"/>
    <x v="0"/>
    <n v="0"/>
  </r>
  <r>
    <d v="2023-04-18T00:00:00"/>
    <x v="0"/>
    <x v="0"/>
    <x v="3"/>
    <n v="129.43"/>
    <s v="Store D"/>
    <x v="1"/>
    <n v="0.05"/>
    <x v="1"/>
    <n v="245.917"/>
    <x v="3"/>
    <s v="FREESHIP"/>
    <n v="0"/>
    <s v="REG101007"/>
    <x v="949"/>
    <n v="6.91"/>
    <x v="625"/>
    <d v="2023-04-21T00:00:00"/>
    <x v="0"/>
    <n v="258.86"/>
    <n v="12.943000000000001"/>
    <n v="245.917"/>
    <n v="3"/>
    <x v="737"/>
    <n v="0"/>
  </r>
  <r>
    <d v="2024-08-29T00:00:00"/>
    <x v="0"/>
    <x v="6"/>
    <x v="8"/>
    <n v="448.21"/>
    <s v="Store C"/>
    <x v="0"/>
    <n v="0.1"/>
    <x v="1"/>
    <n v="7664.3909999999996"/>
    <x v="3"/>
    <s v="WINTER15"/>
    <n v="0"/>
    <s v="REG101008"/>
    <x v="453"/>
    <n v="30.71"/>
    <x v="496"/>
    <d v="2024-09-03T00:00:00"/>
    <x v="0"/>
    <n v="8515.99"/>
    <n v="851.59900000000005"/>
    <n v="7664.3909999999996"/>
    <n v="5"/>
    <x v="738"/>
    <n v="0"/>
  </r>
  <r>
    <d v="2023-09-03T00:00:00"/>
    <x v="2"/>
    <x v="2"/>
    <x v="18"/>
    <n v="440.48"/>
    <s v="Store B"/>
    <x v="1"/>
    <n v="0.05"/>
    <x v="2"/>
    <n v="6695.2960000000003"/>
    <x v="4"/>
    <s v="FREESHIP"/>
    <n v="1"/>
    <s v="REG101009"/>
    <x v="950"/>
    <n v="26.87"/>
    <x v="34"/>
    <d v="2023-09-10T00:00:00"/>
    <x v="2"/>
    <n v="7047.68"/>
    <n v="352.38400000000001"/>
    <n v="6695.2960000000003"/>
    <n v="7"/>
    <x v="739"/>
    <n v="0"/>
  </r>
  <r>
    <d v="2025-05-19T00:00:00"/>
    <x v="0"/>
    <x v="0"/>
    <x v="19"/>
    <n v="262.62"/>
    <s v="Store C"/>
    <x v="0"/>
    <n v="0"/>
    <x v="1"/>
    <n v="2100.96"/>
    <x v="4"/>
    <s v="FREESHIP"/>
    <n v="1"/>
    <s v="REG101010"/>
    <x v="951"/>
    <n v="36.729999999999997"/>
    <x v="460"/>
    <d v="2025-05-24T00:00:00"/>
    <x v="0"/>
    <n v="2100.96"/>
    <n v="0"/>
    <n v="2100.96"/>
    <n v="5"/>
    <x v="0"/>
    <n v="0"/>
  </r>
  <r>
    <d v="2023-06-18T00:00:00"/>
    <x v="0"/>
    <x v="5"/>
    <x v="7"/>
    <n v="124.91"/>
    <s v="Store A"/>
    <x v="0"/>
    <n v="0.1"/>
    <x v="0"/>
    <n v="1686.2850000000001"/>
    <x v="1"/>
    <s v="FREESHIP"/>
    <n v="0"/>
    <s v="REG101011"/>
    <x v="952"/>
    <n v="31.95"/>
    <x v="391"/>
    <d v="2023-06-26T00:00:00"/>
    <x v="0"/>
    <n v="1873.6499999999999"/>
    <n v="187.36500000000001"/>
    <n v="1686.2849999999999"/>
    <n v="8"/>
    <x v="740"/>
    <n v="0"/>
  </r>
  <r>
    <d v="2025-06-18T00:00:00"/>
    <x v="4"/>
    <x v="4"/>
    <x v="17"/>
    <n v="391"/>
    <s v="Store D"/>
    <x v="0"/>
    <n v="0.1"/>
    <x v="0"/>
    <n v="3167.1"/>
    <x v="3"/>
    <s v="WINTER15"/>
    <n v="0"/>
    <s v="REG101012"/>
    <x v="953"/>
    <n v="46.76"/>
    <x v="324"/>
    <d v="2025-06-22T00:00:00"/>
    <x v="4"/>
    <n v="3519"/>
    <n v="351.90000000000003"/>
    <n v="3167.1"/>
    <n v="4"/>
    <x v="741"/>
    <n v="0"/>
  </r>
  <r>
    <d v="2024-09-29T00:00:00"/>
    <x v="1"/>
    <x v="0"/>
    <x v="13"/>
    <n v="204.15"/>
    <s v="Store C"/>
    <x v="1"/>
    <n v="0.05"/>
    <x v="1"/>
    <n v="2327.31"/>
    <x v="3"/>
    <s v="FREESHIP"/>
    <n v="1"/>
    <s v="REG101013"/>
    <x v="954"/>
    <n v="26.4"/>
    <x v="385"/>
    <d v="2024-10-07T00:00:00"/>
    <x v="1"/>
    <n v="2449.8000000000002"/>
    <n v="122.49000000000001"/>
    <n v="2327.3100000000004"/>
    <n v="8"/>
    <x v="742"/>
    <n v="0"/>
  </r>
  <r>
    <d v="2024-02-25T00:00:00"/>
    <x v="0"/>
    <x v="0"/>
    <x v="11"/>
    <n v="13.64"/>
    <s v="Store C"/>
    <x v="1"/>
    <n v="0.15"/>
    <x v="2"/>
    <n v="231.88"/>
    <x v="2"/>
    <s v="SAVE10"/>
    <n v="0"/>
    <s v="REG101014"/>
    <x v="955"/>
    <n v="33.6"/>
    <x v="626"/>
    <d v="2024-03-04T00:00:00"/>
    <x v="0"/>
    <n v="272.8"/>
    <n v="40.92"/>
    <n v="231.88"/>
    <n v="8"/>
    <x v="743"/>
    <n v="0"/>
  </r>
  <r>
    <d v="2024-03-21T00:00:00"/>
    <x v="2"/>
    <x v="6"/>
    <x v="0"/>
    <n v="524.9"/>
    <s v="Store C"/>
    <x v="0"/>
    <n v="0.05"/>
    <x v="1"/>
    <n v="6981.1699999999992"/>
    <x v="4"/>
    <s v="FREESHIP"/>
    <n v="1"/>
    <s v="REG101015"/>
    <x v="956"/>
    <n v="20.23"/>
    <x v="58"/>
    <d v="2024-03-30T00:00:00"/>
    <x v="2"/>
    <n v="7348.5999999999995"/>
    <n v="367.43"/>
    <n v="6981.1699999999992"/>
    <n v="9"/>
    <x v="744"/>
    <n v="0"/>
  </r>
  <r>
    <d v="2024-02-03T00:00:00"/>
    <x v="2"/>
    <x v="0"/>
    <x v="19"/>
    <n v="143.94999999999999"/>
    <s v="Store B"/>
    <x v="1"/>
    <n v="0.1"/>
    <x v="4"/>
    <n v="1036.44"/>
    <x v="4"/>
    <s v="SAVE10"/>
    <n v="0"/>
    <s v="REG101016"/>
    <x v="957"/>
    <n v="28.09"/>
    <x v="490"/>
    <d v="2024-02-09T00:00:00"/>
    <x v="2"/>
    <n v="1151.5999999999999"/>
    <n v="115.16"/>
    <n v="1036.4399999999998"/>
    <n v="6"/>
    <x v="745"/>
    <n v="0"/>
  </r>
  <r>
    <d v="2023-11-21T00:00:00"/>
    <x v="1"/>
    <x v="0"/>
    <x v="3"/>
    <n v="576.84"/>
    <s v="Store D"/>
    <x v="1"/>
    <n v="0.1"/>
    <x v="2"/>
    <n v="1038.3119999999999"/>
    <x v="2"/>
    <s v="FREESHIP"/>
    <n v="0"/>
    <s v="REG101017"/>
    <x v="958"/>
    <n v="43.32"/>
    <x v="283"/>
    <d v="2023-11-24T00:00:00"/>
    <x v="1"/>
    <n v="1153.68"/>
    <n v="115.36800000000001"/>
    <n v="1038.3120000000001"/>
    <n v="3"/>
    <x v="746"/>
    <n v="0"/>
  </r>
  <r>
    <d v="2023-01-10T00:00:00"/>
    <x v="4"/>
    <x v="3"/>
    <x v="0"/>
    <n v="250.98"/>
    <s v="Store C"/>
    <x v="1"/>
    <n v="0"/>
    <x v="0"/>
    <n v="3513.72"/>
    <x v="3"/>
    <m/>
    <n v="0"/>
    <s v="REG101018"/>
    <x v="959"/>
    <n v="14.94"/>
    <x v="579"/>
    <d v="2023-01-18T00:00:00"/>
    <x v="4"/>
    <n v="3513.72"/>
    <n v="0"/>
    <n v="3513.72"/>
    <n v="8"/>
    <x v="0"/>
    <n v="0"/>
  </r>
  <r>
    <d v="2023-02-06T00:00:00"/>
    <x v="3"/>
    <x v="1"/>
    <x v="4"/>
    <n v="335.41"/>
    <s v="Store C"/>
    <x v="1"/>
    <n v="0"/>
    <x v="5"/>
    <n v="2347.87"/>
    <x v="0"/>
    <s v="SAVE10"/>
    <n v="0"/>
    <s v="REG101019"/>
    <x v="269"/>
    <n v="18.91"/>
    <x v="235"/>
    <d v="2023-02-10T00:00:00"/>
    <x v="3"/>
    <n v="2347.8700000000003"/>
    <n v="0"/>
    <n v="2347.8700000000003"/>
    <n v="4"/>
    <x v="0"/>
    <n v="0"/>
  </r>
  <r>
    <d v="2025-04-10T00:00:00"/>
    <x v="2"/>
    <x v="6"/>
    <x v="10"/>
    <n v="204.5"/>
    <s v="Store A"/>
    <x v="1"/>
    <n v="0"/>
    <x v="0"/>
    <n v="2249.5"/>
    <x v="3"/>
    <s v="WINTER15"/>
    <n v="0"/>
    <s v="REG101020"/>
    <x v="862"/>
    <n v="13.82"/>
    <x v="627"/>
    <d v="2025-04-20T00:00:00"/>
    <x v="2"/>
    <n v="2249.5"/>
    <n v="0"/>
    <n v="2249.5"/>
    <n v="10"/>
    <x v="0"/>
    <n v="0"/>
  </r>
  <r>
    <d v="2024-02-14T00:00:00"/>
    <x v="0"/>
    <x v="5"/>
    <x v="1"/>
    <n v="542.63"/>
    <s v="Store A"/>
    <x v="1"/>
    <n v="0.05"/>
    <x v="3"/>
    <n v="515.49849999999992"/>
    <x v="2"/>
    <m/>
    <n v="0"/>
    <s v="REG101021"/>
    <x v="960"/>
    <n v="33.200000000000003"/>
    <x v="628"/>
    <d v="2024-02-21T00:00:00"/>
    <x v="0"/>
    <n v="542.63"/>
    <n v="27.131500000000003"/>
    <n v="515.49850000000004"/>
    <n v="7"/>
    <x v="747"/>
    <n v="0"/>
  </r>
  <r>
    <d v="2025-05-26T00:00:00"/>
    <x v="0"/>
    <x v="1"/>
    <x v="1"/>
    <n v="204.54"/>
    <s v="Store D"/>
    <x v="1"/>
    <n v="0.1"/>
    <x v="3"/>
    <n v="184.08600000000001"/>
    <x v="0"/>
    <m/>
    <n v="1"/>
    <s v="REG101022"/>
    <x v="961"/>
    <n v="17.760000000000002"/>
    <x v="499"/>
    <d v="2025-05-29T00:00:00"/>
    <x v="0"/>
    <n v="204.54"/>
    <n v="20.454000000000001"/>
    <n v="184.08599999999998"/>
    <n v="3"/>
    <x v="748"/>
    <n v="0"/>
  </r>
  <r>
    <d v="2023-09-12T00:00:00"/>
    <x v="4"/>
    <x v="3"/>
    <x v="12"/>
    <n v="419.58"/>
    <s v="Store A"/>
    <x v="0"/>
    <n v="0.15"/>
    <x v="0"/>
    <n v="3566.43"/>
    <x v="3"/>
    <s v="FREESHIP"/>
    <n v="0"/>
    <s v="REG101023"/>
    <x v="757"/>
    <n v="13.09"/>
    <x v="629"/>
    <d v="2023-09-19T00:00:00"/>
    <x v="4"/>
    <n v="4195.8"/>
    <n v="629.37"/>
    <n v="3566.4300000000003"/>
    <n v="7"/>
    <x v="749"/>
    <n v="0"/>
  </r>
  <r>
    <d v="2023-05-17T00:00:00"/>
    <x v="0"/>
    <x v="2"/>
    <x v="4"/>
    <n v="87.88"/>
    <s v="Store C"/>
    <x v="0"/>
    <n v="0.15"/>
    <x v="1"/>
    <n v="522.88599999999997"/>
    <x v="0"/>
    <s v="WINTER15"/>
    <n v="1"/>
    <s v="REG101024"/>
    <x v="962"/>
    <n v="22.2"/>
    <x v="497"/>
    <d v="2023-05-26T00:00:00"/>
    <x v="0"/>
    <n v="615.16"/>
    <n v="92.273999999999987"/>
    <n v="522.88599999999997"/>
    <n v="9"/>
    <x v="750"/>
    <n v="0"/>
  </r>
  <r>
    <d v="2024-01-29T00:00:00"/>
    <x v="4"/>
    <x v="6"/>
    <x v="4"/>
    <n v="386.88"/>
    <s v="Store B"/>
    <x v="0"/>
    <n v="0.05"/>
    <x v="3"/>
    <n v="2572.752"/>
    <x v="4"/>
    <s v="SAVE10"/>
    <n v="0"/>
    <s v="REG101025"/>
    <x v="963"/>
    <n v="38.46"/>
    <x v="282"/>
    <d v="2024-01-31T00:00:00"/>
    <x v="4"/>
    <n v="2708.16"/>
    <n v="135.40799999999999"/>
    <n v="2572.752"/>
    <n v="2"/>
    <x v="751"/>
    <n v="0"/>
  </r>
  <r>
    <d v="2025-05-09T00:00:00"/>
    <x v="2"/>
    <x v="2"/>
    <x v="15"/>
    <n v="242.8"/>
    <s v="Store D"/>
    <x v="0"/>
    <n v="0.05"/>
    <x v="4"/>
    <n v="922.64"/>
    <x v="3"/>
    <s v="FREESHIP"/>
    <n v="0"/>
    <s v="REG101026"/>
    <x v="964"/>
    <n v="30.03"/>
    <x v="589"/>
    <d v="2025-05-18T00:00:00"/>
    <x v="2"/>
    <n v="971.2"/>
    <n v="48.56"/>
    <n v="922.6400000000001"/>
    <n v="9"/>
    <x v="752"/>
    <n v="0"/>
  </r>
  <r>
    <d v="2024-04-05T00:00:00"/>
    <x v="0"/>
    <x v="6"/>
    <x v="15"/>
    <n v="410.59"/>
    <s v="Store A"/>
    <x v="1"/>
    <n v="0"/>
    <x v="0"/>
    <n v="1642.36"/>
    <x v="4"/>
    <m/>
    <n v="0"/>
    <s v="REG101027"/>
    <x v="965"/>
    <n v="17.36"/>
    <x v="393"/>
    <d v="2024-04-09T00:00:00"/>
    <x v="0"/>
    <n v="1642.36"/>
    <n v="0"/>
    <n v="1642.36"/>
    <n v="4"/>
    <x v="0"/>
    <n v="0"/>
  </r>
  <r>
    <d v="2024-08-01T00:00:00"/>
    <x v="1"/>
    <x v="3"/>
    <x v="5"/>
    <n v="10.93"/>
    <s v="Store D"/>
    <x v="0"/>
    <n v="0.15"/>
    <x v="0"/>
    <n v="27.871500000000001"/>
    <x v="4"/>
    <s v="FREESHIP"/>
    <n v="0"/>
    <s v="REG101028"/>
    <x v="966"/>
    <n v="19.010000000000002"/>
    <x v="537"/>
    <d v="2024-08-10T00:00:00"/>
    <x v="1"/>
    <n v="32.79"/>
    <n v="4.9184999999999999"/>
    <n v="27.871499999999997"/>
    <n v="9"/>
    <x v="753"/>
    <n v="0"/>
  </r>
  <r>
    <d v="2024-07-10T00:00:00"/>
    <x v="1"/>
    <x v="3"/>
    <x v="11"/>
    <n v="150.16"/>
    <s v="Store C"/>
    <x v="0"/>
    <n v="0"/>
    <x v="5"/>
    <n v="3003.2"/>
    <x v="4"/>
    <m/>
    <n v="0"/>
    <s v="REG101029"/>
    <x v="967"/>
    <n v="41.66"/>
    <x v="462"/>
    <d v="2024-07-12T00:00:00"/>
    <x v="1"/>
    <n v="3003.2"/>
    <n v="0"/>
    <n v="3003.2"/>
    <n v="2"/>
    <x v="0"/>
    <n v="0"/>
  </r>
  <r>
    <d v="2024-06-15T00:00:00"/>
    <x v="0"/>
    <x v="3"/>
    <x v="1"/>
    <n v="394.41"/>
    <s v="Store B"/>
    <x v="1"/>
    <n v="0.1"/>
    <x v="1"/>
    <n v="354.96900000000011"/>
    <x v="1"/>
    <s v="WINTER15"/>
    <n v="0"/>
    <s v="REG101030"/>
    <x v="968"/>
    <n v="6.37"/>
    <x v="351"/>
    <d v="2024-06-20T00:00:00"/>
    <x v="0"/>
    <n v="394.41"/>
    <n v="39.441000000000003"/>
    <n v="354.96900000000005"/>
    <n v="5"/>
    <x v="754"/>
    <n v="0"/>
  </r>
  <r>
    <d v="2024-05-22T00:00:00"/>
    <x v="0"/>
    <x v="4"/>
    <x v="16"/>
    <n v="535.38"/>
    <s v="Store C"/>
    <x v="0"/>
    <n v="0.15"/>
    <x v="1"/>
    <n v="2730.4380000000001"/>
    <x v="0"/>
    <m/>
    <n v="0"/>
    <s v="REG101031"/>
    <x v="969"/>
    <n v="48.66"/>
    <x v="521"/>
    <d v="2024-05-29T00:00:00"/>
    <x v="0"/>
    <n v="3212.2799999999997"/>
    <n v="481.84199999999993"/>
    <n v="2730.4379999999996"/>
    <n v="7"/>
    <x v="755"/>
    <n v="0"/>
  </r>
  <r>
    <d v="2024-01-14T00:00:00"/>
    <x v="0"/>
    <x v="4"/>
    <x v="8"/>
    <n v="407.82"/>
    <s v="Store D"/>
    <x v="1"/>
    <n v="0.05"/>
    <x v="4"/>
    <n v="7361.1509999999998"/>
    <x v="1"/>
    <s v="FREESHIP"/>
    <n v="0"/>
    <s v="REG101032"/>
    <x v="970"/>
    <n v="38.979999999999997"/>
    <x v="73"/>
    <d v="2024-01-18T00:00:00"/>
    <x v="0"/>
    <n v="7748.58"/>
    <n v="387.42900000000003"/>
    <n v="7361.1509999999998"/>
    <n v="4"/>
    <x v="756"/>
    <n v="0"/>
  </r>
  <r>
    <d v="2024-10-31T00:00:00"/>
    <x v="2"/>
    <x v="5"/>
    <x v="18"/>
    <n v="120.83"/>
    <s v="Store B"/>
    <x v="1"/>
    <n v="0.05"/>
    <x v="3"/>
    <n v="1836.616"/>
    <x v="4"/>
    <s v="WINTER15"/>
    <n v="1"/>
    <s v="REG101033"/>
    <x v="413"/>
    <n v="39.64"/>
    <x v="335"/>
    <d v="2024-11-02T00:00:00"/>
    <x v="2"/>
    <n v="1933.28"/>
    <n v="96.664000000000001"/>
    <n v="1836.616"/>
    <n v="2"/>
    <x v="757"/>
    <n v="0"/>
  </r>
  <r>
    <d v="2024-04-23T00:00:00"/>
    <x v="4"/>
    <x v="6"/>
    <x v="4"/>
    <n v="39.53"/>
    <s v="Store D"/>
    <x v="1"/>
    <n v="0.1"/>
    <x v="3"/>
    <n v="249.03899999999999"/>
    <x v="3"/>
    <s v="WINTER15"/>
    <n v="0"/>
    <s v="REG101034"/>
    <x v="971"/>
    <n v="18.16"/>
    <x v="502"/>
    <d v="2024-04-29T00:00:00"/>
    <x v="4"/>
    <n v="276.71000000000004"/>
    <n v="27.671000000000006"/>
    <n v="249.03900000000004"/>
    <n v="6"/>
    <x v="758"/>
    <n v="0"/>
  </r>
  <r>
    <d v="2023-06-14T00:00:00"/>
    <x v="1"/>
    <x v="5"/>
    <x v="3"/>
    <n v="224.08"/>
    <s v="Store A"/>
    <x v="1"/>
    <n v="0.05"/>
    <x v="2"/>
    <n v="425.75200000000001"/>
    <x v="2"/>
    <s v="WINTER15"/>
    <n v="0"/>
    <s v="REG101035"/>
    <x v="972"/>
    <n v="47.35"/>
    <x v="116"/>
    <d v="2023-06-20T00:00:00"/>
    <x v="1"/>
    <n v="448.16"/>
    <n v="22.408000000000001"/>
    <n v="425.75200000000001"/>
    <n v="6"/>
    <x v="759"/>
    <n v="0"/>
  </r>
  <r>
    <d v="2024-02-28T00:00:00"/>
    <x v="2"/>
    <x v="6"/>
    <x v="10"/>
    <n v="382.08"/>
    <s v="Store D"/>
    <x v="0"/>
    <n v="0.05"/>
    <x v="2"/>
    <n v="3992.7359999999999"/>
    <x v="4"/>
    <s v="WINTER15"/>
    <n v="0"/>
    <s v="REG101036"/>
    <x v="973"/>
    <n v="5.95"/>
    <x v="630"/>
    <d v="2024-03-02T00:00:00"/>
    <x v="2"/>
    <n v="4202.88"/>
    <n v="210.14400000000001"/>
    <n v="3992.7359999999999"/>
    <n v="3"/>
    <x v="760"/>
    <n v="0"/>
  </r>
  <r>
    <d v="2024-06-19T00:00:00"/>
    <x v="1"/>
    <x v="6"/>
    <x v="17"/>
    <n v="88.49"/>
    <s v="Store D"/>
    <x v="0"/>
    <n v="0.05"/>
    <x v="4"/>
    <n v="756.58949999999993"/>
    <x v="0"/>
    <m/>
    <n v="0"/>
    <s v="REG101037"/>
    <x v="974"/>
    <n v="35.6"/>
    <x v="389"/>
    <d v="2024-06-26T00:00:00"/>
    <x v="1"/>
    <n v="796.41"/>
    <n v="39.820500000000003"/>
    <n v="756.58949999999993"/>
    <n v="7"/>
    <x v="761"/>
    <n v="0"/>
  </r>
  <r>
    <d v="2023-03-18T00:00:00"/>
    <x v="3"/>
    <x v="5"/>
    <x v="11"/>
    <n v="139.1"/>
    <s v="Store C"/>
    <x v="0"/>
    <n v="0.05"/>
    <x v="3"/>
    <n v="2642.9"/>
    <x v="0"/>
    <s v="FREESHIP"/>
    <n v="0"/>
    <s v="REG101038"/>
    <x v="975"/>
    <n v="30.22"/>
    <x v="132"/>
    <d v="2023-03-20T00:00:00"/>
    <x v="3"/>
    <n v="2782"/>
    <n v="139.1"/>
    <n v="2642.9"/>
    <n v="2"/>
    <x v="762"/>
    <n v="0"/>
  </r>
  <r>
    <d v="2023-03-21T00:00:00"/>
    <x v="4"/>
    <x v="2"/>
    <x v="8"/>
    <n v="322.35000000000002"/>
    <s v="Store D"/>
    <x v="0"/>
    <n v="0.1"/>
    <x v="1"/>
    <n v="5512.1850000000004"/>
    <x v="3"/>
    <s v="WINTER15"/>
    <n v="0"/>
    <s v="REG101039"/>
    <x v="976"/>
    <n v="30.06"/>
    <x v="256"/>
    <d v="2023-03-31T00:00:00"/>
    <x v="4"/>
    <n v="6124.6500000000005"/>
    <n v="612.46500000000003"/>
    <n v="5512.1850000000004"/>
    <n v="10"/>
    <x v="763"/>
    <n v="0"/>
  </r>
  <r>
    <d v="2024-05-28T00:00:00"/>
    <x v="0"/>
    <x v="6"/>
    <x v="18"/>
    <n v="334.55"/>
    <s v="Store B"/>
    <x v="0"/>
    <n v="0.1"/>
    <x v="0"/>
    <n v="4817.5200000000004"/>
    <x v="2"/>
    <s v="SAVE10"/>
    <n v="0"/>
    <s v="REG101040"/>
    <x v="977"/>
    <n v="37.42"/>
    <x v="17"/>
    <d v="2024-06-01T00:00:00"/>
    <x v="0"/>
    <n v="5352.8"/>
    <n v="535.28000000000009"/>
    <n v="4817.5200000000004"/>
    <n v="4"/>
    <x v="764"/>
    <n v="0"/>
  </r>
  <r>
    <d v="2023-03-27T00:00:00"/>
    <x v="4"/>
    <x v="2"/>
    <x v="11"/>
    <n v="332.48"/>
    <s v="Store B"/>
    <x v="0"/>
    <n v="0"/>
    <x v="0"/>
    <n v="6649.6"/>
    <x v="0"/>
    <s v="SAVE10"/>
    <n v="1"/>
    <s v="REG101041"/>
    <x v="978"/>
    <n v="7.79"/>
    <x v="340"/>
    <d v="2023-03-30T00:00:00"/>
    <x v="4"/>
    <n v="6649.6"/>
    <n v="0"/>
    <n v="6649.6"/>
    <n v="3"/>
    <x v="0"/>
    <n v="0"/>
  </r>
  <r>
    <d v="2023-06-19T00:00:00"/>
    <x v="3"/>
    <x v="6"/>
    <x v="1"/>
    <n v="123.4"/>
    <s v="Store A"/>
    <x v="1"/>
    <n v="0"/>
    <x v="0"/>
    <n v="123.4"/>
    <x v="4"/>
    <m/>
    <n v="1"/>
    <s v="REG101042"/>
    <x v="979"/>
    <n v="12.63"/>
    <x v="182"/>
    <d v="2023-06-25T00:00:00"/>
    <x v="3"/>
    <n v="123.4"/>
    <n v="0"/>
    <n v="123.4"/>
    <n v="6"/>
    <x v="0"/>
    <n v="0"/>
  </r>
  <r>
    <d v="2023-10-31T00:00:00"/>
    <x v="1"/>
    <x v="0"/>
    <x v="5"/>
    <n v="88.26"/>
    <s v="Store D"/>
    <x v="0"/>
    <n v="0.05"/>
    <x v="5"/>
    <n v="251.541"/>
    <x v="3"/>
    <s v="FREESHIP"/>
    <n v="0"/>
    <s v="REG101043"/>
    <x v="980"/>
    <n v="46.45"/>
    <x v="372"/>
    <d v="2023-11-07T00:00:00"/>
    <x v="1"/>
    <n v="264.78000000000003"/>
    <n v="13.239000000000003"/>
    <n v="251.54100000000003"/>
    <n v="7"/>
    <x v="765"/>
    <n v="0"/>
  </r>
  <r>
    <d v="2023-07-11T00:00:00"/>
    <x v="4"/>
    <x v="1"/>
    <x v="14"/>
    <n v="50.51"/>
    <s v="Store D"/>
    <x v="0"/>
    <n v="0.1"/>
    <x v="1"/>
    <n v="590.96699999999998"/>
    <x v="3"/>
    <s v="WINTER15"/>
    <n v="0"/>
    <s v="REG101044"/>
    <x v="981"/>
    <n v="40.57"/>
    <x v="445"/>
    <d v="2023-07-18T00:00:00"/>
    <x v="4"/>
    <n v="656.63"/>
    <n v="65.662999999999997"/>
    <n v="590.96699999999998"/>
    <n v="7"/>
    <x v="766"/>
    <n v="0"/>
  </r>
  <r>
    <d v="2023-05-19T00:00:00"/>
    <x v="1"/>
    <x v="4"/>
    <x v="10"/>
    <n v="237.99"/>
    <s v="Store D"/>
    <x v="0"/>
    <n v="0.05"/>
    <x v="5"/>
    <n v="2486.9955"/>
    <x v="3"/>
    <s v="FREESHIP"/>
    <n v="0"/>
    <s v="REG101045"/>
    <x v="982"/>
    <n v="44.7"/>
    <x v="631"/>
    <d v="2023-05-28T00:00:00"/>
    <x v="1"/>
    <n v="2617.8900000000003"/>
    <n v="130.89450000000002"/>
    <n v="2486.9955000000004"/>
    <n v="9"/>
    <x v="767"/>
    <n v="0"/>
  </r>
  <r>
    <d v="2023-08-05T00:00:00"/>
    <x v="2"/>
    <x v="3"/>
    <x v="4"/>
    <n v="294.95"/>
    <s v="Store D"/>
    <x v="0"/>
    <n v="0"/>
    <x v="2"/>
    <n v="2064.65"/>
    <x v="0"/>
    <s v="FREESHIP"/>
    <n v="0"/>
    <s v="REG101046"/>
    <x v="983"/>
    <n v="15.78"/>
    <x v="285"/>
    <d v="2023-08-10T00:00:00"/>
    <x v="2"/>
    <n v="2064.65"/>
    <n v="0"/>
    <n v="2064.65"/>
    <n v="5"/>
    <x v="0"/>
    <n v="0"/>
  </r>
  <r>
    <d v="2023-03-24T00:00:00"/>
    <x v="4"/>
    <x v="2"/>
    <x v="19"/>
    <n v="384.3"/>
    <s v="Store C"/>
    <x v="0"/>
    <n v="0.1"/>
    <x v="2"/>
    <n v="2766.96"/>
    <x v="1"/>
    <s v="FREESHIP"/>
    <n v="0"/>
    <s v="REG101047"/>
    <x v="122"/>
    <n v="48.83"/>
    <x v="601"/>
    <d v="2023-04-03T00:00:00"/>
    <x v="4"/>
    <n v="3074.4"/>
    <n v="307.44000000000005"/>
    <n v="2766.96"/>
    <n v="10"/>
    <x v="768"/>
    <n v="0"/>
  </r>
  <r>
    <d v="2025-02-14T00:00:00"/>
    <x v="4"/>
    <x v="4"/>
    <x v="1"/>
    <n v="378.35"/>
    <s v="Store C"/>
    <x v="0"/>
    <n v="0.05"/>
    <x v="4"/>
    <n v="359.4325"/>
    <x v="4"/>
    <s v="FREESHIP"/>
    <n v="0"/>
    <s v="REG101048"/>
    <x v="482"/>
    <n v="20.97"/>
    <x v="202"/>
    <d v="2025-02-17T00:00:00"/>
    <x v="4"/>
    <n v="378.35"/>
    <n v="18.9175"/>
    <n v="359.4325"/>
    <n v="3"/>
    <x v="769"/>
    <n v="0"/>
  </r>
  <r>
    <d v="2024-12-14T00:00:00"/>
    <x v="2"/>
    <x v="2"/>
    <x v="1"/>
    <n v="461.35"/>
    <s v="Store D"/>
    <x v="1"/>
    <n v="0"/>
    <x v="5"/>
    <n v="461.35"/>
    <x v="3"/>
    <s v="FREESHIP"/>
    <n v="1"/>
    <s v="REG101049"/>
    <x v="984"/>
    <n v="43.74"/>
    <x v="632"/>
    <d v="2024-12-16T00:00:00"/>
    <x v="2"/>
    <n v="461.35"/>
    <n v="0"/>
    <n v="461.35"/>
    <n v="2"/>
    <x v="0"/>
    <n v="0"/>
  </r>
  <r>
    <d v="2023-06-28T00:00:00"/>
    <x v="1"/>
    <x v="6"/>
    <x v="11"/>
    <n v="354.9"/>
    <s v="Store A"/>
    <x v="0"/>
    <n v="0"/>
    <x v="5"/>
    <n v="7098"/>
    <x v="1"/>
    <s v="WINTER15"/>
    <n v="0"/>
    <s v="REG101050"/>
    <x v="985"/>
    <n v="43.24"/>
    <x v="418"/>
    <d v="2023-07-01T00:00:00"/>
    <x v="1"/>
    <n v="7098"/>
    <n v="0"/>
    <n v="7098"/>
    <n v="3"/>
    <x v="0"/>
    <n v="0"/>
  </r>
  <r>
    <d v="2023-01-24T00:00:00"/>
    <x v="4"/>
    <x v="2"/>
    <x v="4"/>
    <n v="438.41"/>
    <s v="Store C"/>
    <x v="1"/>
    <n v="0.1"/>
    <x v="4"/>
    <n v="2761.9830000000002"/>
    <x v="3"/>
    <s v="SAVE10"/>
    <n v="1"/>
    <s v="REG101051"/>
    <x v="986"/>
    <n v="47.77"/>
    <x v="191"/>
    <d v="2023-01-28T00:00:00"/>
    <x v="4"/>
    <n v="3068.8700000000003"/>
    <n v="306.88700000000006"/>
    <n v="2761.9830000000002"/>
    <n v="4"/>
    <x v="770"/>
    <n v="0"/>
  </r>
  <r>
    <d v="2024-06-21T00:00:00"/>
    <x v="3"/>
    <x v="5"/>
    <x v="0"/>
    <n v="542.6"/>
    <s v="Store C"/>
    <x v="1"/>
    <n v="0.05"/>
    <x v="0"/>
    <n v="7216.58"/>
    <x v="3"/>
    <m/>
    <n v="0"/>
    <s v="REG101052"/>
    <x v="433"/>
    <n v="44.76"/>
    <x v="378"/>
    <d v="2024-06-30T00:00:00"/>
    <x v="3"/>
    <n v="7596.4000000000005"/>
    <n v="379.82000000000005"/>
    <n v="7216.5800000000008"/>
    <n v="9"/>
    <x v="771"/>
    <n v="0"/>
  </r>
  <r>
    <d v="2025-04-09T00:00:00"/>
    <x v="2"/>
    <x v="6"/>
    <x v="5"/>
    <n v="238.82"/>
    <s v="Store C"/>
    <x v="1"/>
    <n v="0.1"/>
    <x v="5"/>
    <n v="644.81400000000008"/>
    <x v="1"/>
    <s v="WINTER15"/>
    <n v="0"/>
    <s v="REG101053"/>
    <x v="987"/>
    <n v="37.07"/>
    <x v="320"/>
    <d v="2025-04-18T00:00:00"/>
    <x v="2"/>
    <n v="716.46"/>
    <n v="71.646000000000001"/>
    <n v="644.81400000000008"/>
    <n v="9"/>
    <x v="772"/>
    <n v="0"/>
  </r>
  <r>
    <d v="2025-01-11T00:00:00"/>
    <x v="2"/>
    <x v="5"/>
    <x v="18"/>
    <n v="332.19"/>
    <s v="Store C"/>
    <x v="1"/>
    <n v="0.1"/>
    <x v="0"/>
    <n v="4783.5360000000001"/>
    <x v="2"/>
    <s v="SAVE10"/>
    <n v="1"/>
    <s v="REG101054"/>
    <x v="988"/>
    <n v="34.97"/>
    <x v="405"/>
    <d v="2025-01-19T00:00:00"/>
    <x v="2"/>
    <n v="5315.04"/>
    <n v="531.50400000000002"/>
    <n v="4783.5360000000001"/>
    <n v="8"/>
    <x v="773"/>
    <n v="0"/>
  </r>
  <r>
    <d v="2024-07-13T00:00:00"/>
    <x v="3"/>
    <x v="6"/>
    <x v="17"/>
    <n v="454.6"/>
    <s v="Store D"/>
    <x v="0"/>
    <n v="0.05"/>
    <x v="3"/>
    <n v="3886.83"/>
    <x v="3"/>
    <m/>
    <n v="0"/>
    <s v="REG101055"/>
    <x v="989"/>
    <n v="32.86"/>
    <x v="421"/>
    <d v="2024-07-20T00:00:00"/>
    <x v="3"/>
    <n v="4091.4"/>
    <n v="204.57000000000002"/>
    <n v="3886.83"/>
    <n v="7"/>
    <x v="774"/>
    <n v="0"/>
  </r>
  <r>
    <d v="2025-01-04T00:00:00"/>
    <x v="4"/>
    <x v="6"/>
    <x v="16"/>
    <n v="540.54"/>
    <s v="Store A"/>
    <x v="1"/>
    <n v="0.05"/>
    <x v="3"/>
    <n v="3081.078"/>
    <x v="3"/>
    <s v="SAVE10"/>
    <n v="0"/>
    <s v="REG101056"/>
    <x v="990"/>
    <n v="19.77"/>
    <x v="602"/>
    <d v="2025-01-10T00:00:00"/>
    <x v="4"/>
    <n v="3243.24"/>
    <n v="162.16200000000001"/>
    <n v="3081.078"/>
    <n v="6"/>
    <x v="775"/>
    <n v="0"/>
  </r>
  <r>
    <d v="2023-10-25T00:00:00"/>
    <x v="4"/>
    <x v="2"/>
    <x v="0"/>
    <n v="147.37"/>
    <s v="Store D"/>
    <x v="0"/>
    <n v="0.15"/>
    <x v="2"/>
    <n v="1753.703"/>
    <x v="3"/>
    <s v="WINTER15"/>
    <n v="1"/>
    <s v="REG101057"/>
    <x v="991"/>
    <n v="45.75"/>
    <x v="633"/>
    <d v="2023-10-31T00:00:00"/>
    <x v="4"/>
    <n v="2063.1800000000003"/>
    <n v="309.47700000000003"/>
    <n v="1753.7030000000002"/>
    <n v="6"/>
    <x v="776"/>
    <n v="0"/>
  </r>
  <r>
    <d v="2023-09-30T00:00:00"/>
    <x v="1"/>
    <x v="0"/>
    <x v="4"/>
    <n v="421.12"/>
    <s v="Store D"/>
    <x v="0"/>
    <n v="0.15"/>
    <x v="4"/>
    <n v="2505.6640000000002"/>
    <x v="1"/>
    <m/>
    <n v="0"/>
    <s v="REG101058"/>
    <x v="992"/>
    <n v="44.49"/>
    <x v="508"/>
    <d v="2023-10-02T00:00:00"/>
    <x v="1"/>
    <n v="2947.84"/>
    <n v="442.17599999999999"/>
    <n v="2505.6640000000002"/>
    <n v="2"/>
    <x v="777"/>
    <n v="0"/>
  </r>
  <r>
    <d v="2023-03-16T00:00:00"/>
    <x v="2"/>
    <x v="1"/>
    <x v="11"/>
    <n v="436.32"/>
    <s v="Store D"/>
    <x v="1"/>
    <n v="0"/>
    <x v="4"/>
    <n v="8726.4"/>
    <x v="2"/>
    <s v="FREESHIP"/>
    <n v="1"/>
    <s v="REG101059"/>
    <x v="993"/>
    <n v="37.49"/>
    <x v="399"/>
    <d v="2023-03-26T00:00:00"/>
    <x v="2"/>
    <n v="8726.4"/>
    <n v="0"/>
    <n v="8726.4"/>
    <n v="10"/>
    <x v="0"/>
    <n v="0"/>
  </r>
  <r>
    <d v="2023-07-26T00:00:00"/>
    <x v="2"/>
    <x v="0"/>
    <x v="2"/>
    <n v="436.83"/>
    <s v="Store A"/>
    <x v="0"/>
    <n v="0.1"/>
    <x v="5"/>
    <n v="7076.6459999999997"/>
    <x v="2"/>
    <s v="SAVE10"/>
    <n v="0"/>
    <s v="REG101060"/>
    <x v="538"/>
    <n v="28.8"/>
    <x v="238"/>
    <d v="2023-08-02T00:00:00"/>
    <x v="2"/>
    <n v="7862.94"/>
    <n v="786.29399999999998"/>
    <n v="7076.6459999999997"/>
    <n v="7"/>
    <x v="778"/>
    <n v="0"/>
  </r>
  <r>
    <d v="2023-07-10T00:00:00"/>
    <x v="0"/>
    <x v="4"/>
    <x v="3"/>
    <n v="327.57"/>
    <s v="Store A"/>
    <x v="1"/>
    <n v="0.05"/>
    <x v="4"/>
    <n v="622.38299999999992"/>
    <x v="3"/>
    <m/>
    <n v="0"/>
    <s v="REG101061"/>
    <x v="994"/>
    <n v="19.489999999999998"/>
    <x v="634"/>
    <d v="2023-07-19T00:00:00"/>
    <x v="0"/>
    <n v="655.14"/>
    <n v="32.756999999999998"/>
    <n v="622.38300000000004"/>
    <n v="9"/>
    <x v="779"/>
    <n v="0"/>
  </r>
  <r>
    <d v="2024-08-06T00:00:00"/>
    <x v="0"/>
    <x v="6"/>
    <x v="2"/>
    <n v="166.92"/>
    <s v="Store C"/>
    <x v="0"/>
    <n v="0.05"/>
    <x v="1"/>
    <n v="2854.3319999999999"/>
    <x v="1"/>
    <s v="WINTER15"/>
    <n v="0"/>
    <s v="REG101062"/>
    <x v="995"/>
    <n v="9.35"/>
    <x v="635"/>
    <d v="2024-08-16T00:00:00"/>
    <x v="0"/>
    <n v="3004.56"/>
    <n v="150.22800000000001"/>
    <n v="2854.3319999999999"/>
    <n v="10"/>
    <x v="780"/>
    <n v="0"/>
  </r>
  <r>
    <d v="2024-07-16T00:00:00"/>
    <x v="3"/>
    <x v="1"/>
    <x v="0"/>
    <n v="300.38"/>
    <s v="Store A"/>
    <x v="1"/>
    <n v="0.1"/>
    <x v="1"/>
    <n v="3784.788"/>
    <x v="0"/>
    <m/>
    <n v="0"/>
    <s v="REG101063"/>
    <x v="996"/>
    <n v="38.6"/>
    <x v="617"/>
    <d v="2024-07-19T00:00:00"/>
    <x v="3"/>
    <n v="4205.32"/>
    <n v="420.53199999999998"/>
    <n v="3784.7879999999996"/>
    <n v="3"/>
    <x v="781"/>
    <n v="0"/>
  </r>
  <r>
    <d v="2024-01-31T00:00:00"/>
    <x v="2"/>
    <x v="6"/>
    <x v="6"/>
    <n v="232.29"/>
    <s v="Store A"/>
    <x v="0"/>
    <n v="0"/>
    <x v="1"/>
    <n v="1161.45"/>
    <x v="0"/>
    <m/>
    <n v="1"/>
    <s v="REG101064"/>
    <x v="997"/>
    <n v="42.38"/>
    <x v="636"/>
    <d v="2024-02-09T00:00:00"/>
    <x v="2"/>
    <n v="1161.45"/>
    <n v="0"/>
    <n v="1161.45"/>
    <n v="9"/>
    <x v="0"/>
    <n v="0"/>
  </r>
  <r>
    <d v="2023-04-22T00:00:00"/>
    <x v="3"/>
    <x v="5"/>
    <x v="1"/>
    <n v="173.44"/>
    <s v="Store A"/>
    <x v="1"/>
    <n v="0"/>
    <x v="5"/>
    <n v="173.44"/>
    <x v="1"/>
    <s v="FREESHIP"/>
    <n v="0"/>
    <s v="REG101065"/>
    <x v="998"/>
    <n v="32.83"/>
    <x v="573"/>
    <d v="2023-04-24T00:00:00"/>
    <x v="3"/>
    <n v="173.44"/>
    <n v="0"/>
    <n v="173.44"/>
    <n v="2"/>
    <x v="0"/>
    <n v="0"/>
  </r>
  <r>
    <d v="2025-02-04T00:00:00"/>
    <x v="0"/>
    <x v="1"/>
    <x v="17"/>
    <n v="256.14"/>
    <s v="Store A"/>
    <x v="1"/>
    <n v="0.15"/>
    <x v="2"/>
    <n v="1959.471"/>
    <x v="2"/>
    <s v="SAVE10"/>
    <n v="1"/>
    <s v="REG101066"/>
    <x v="999"/>
    <n v="5.21"/>
    <x v="599"/>
    <d v="2025-02-07T00:00:00"/>
    <x v="0"/>
    <n v="2305.2599999999998"/>
    <n v="345.78899999999993"/>
    <n v="1959.4709999999998"/>
    <n v="3"/>
    <x v="782"/>
    <n v="0"/>
  </r>
  <r>
    <d v="2024-08-25T00:00:00"/>
    <x v="3"/>
    <x v="0"/>
    <x v="13"/>
    <n v="461.3"/>
    <s v="Store D"/>
    <x v="0"/>
    <n v="0.15"/>
    <x v="4"/>
    <n v="4705.26"/>
    <x v="1"/>
    <s v="FREESHIP"/>
    <n v="0"/>
    <s v="REG101067"/>
    <x v="1000"/>
    <n v="8.6"/>
    <x v="225"/>
    <d v="2024-09-03T00:00:00"/>
    <x v="3"/>
    <n v="5535.6"/>
    <n v="830.34"/>
    <n v="4705.26"/>
    <n v="9"/>
    <x v="783"/>
    <n v="0"/>
  </r>
  <r>
    <d v="2023-08-30T00:00:00"/>
    <x v="0"/>
    <x v="1"/>
    <x v="1"/>
    <n v="193.08"/>
    <s v="Store A"/>
    <x v="0"/>
    <n v="0.05"/>
    <x v="2"/>
    <n v="183.42599999999999"/>
    <x v="0"/>
    <s v="SAVE10"/>
    <n v="0"/>
    <s v="REG101068"/>
    <x v="791"/>
    <n v="23.99"/>
    <x v="286"/>
    <d v="2023-09-05T00:00:00"/>
    <x v="0"/>
    <n v="193.08"/>
    <n v="9.6540000000000017"/>
    <n v="183.42600000000002"/>
    <n v="6"/>
    <x v="784"/>
    <n v="0"/>
  </r>
  <r>
    <d v="2023-09-06T00:00:00"/>
    <x v="4"/>
    <x v="3"/>
    <x v="5"/>
    <n v="312.97000000000003"/>
    <s v="Store C"/>
    <x v="1"/>
    <n v="0.05"/>
    <x v="0"/>
    <n v="891.96450000000004"/>
    <x v="2"/>
    <m/>
    <n v="1"/>
    <s v="REG101069"/>
    <x v="1001"/>
    <n v="20.059999999999999"/>
    <x v="476"/>
    <d v="2023-09-12T00:00:00"/>
    <x v="4"/>
    <n v="938.91000000000008"/>
    <n v="46.94550000000001"/>
    <n v="891.96450000000004"/>
    <n v="6"/>
    <x v="785"/>
    <n v="0"/>
  </r>
  <r>
    <d v="2025-05-13T00:00:00"/>
    <x v="1"/>
    <x v="0"/>
    <x v="16"/>
    <n v="214.14"/>
    <s v="Store D"/>
    <x v="0"/>
    <n v="0.05"/>
    <x v="4"/>
    <n v="1220.598"/>
    <x v="4"/>
    <s v="FREESHIP"/>
    <n v="0"/>
    <s v="REG101070"/>
    <x v="1002"/>
    <n v="44.86"/>
    <x v="92"/>
    <d v="2025-05-21T00:00:00"/>
    <x v="1"/>
    <n v="1284.8399999999999"/>
    <n v="64.242000000000004"/>
    <n v="1220.598"/>
    <n v="8"/>
    <x v="786"/>
    <n v="0"/>
  </r>
  <r>
    <d v="2023-10-29T00:00:00"/>
    <x v="2"/>
    <x v="1"/>
    <x v="15"/>
    <n v="59.8"/>
    <s v="Store D"/>
    <x v="1"/>
    <n v="0.1"/>
    <x v="2"/>
    <n v="215.28"/>
    <x v="0"/>
    <s v="FREESHIP"/>
    <n v="0"/>
    <s v="REG101071"/>
    <x v="1003"/>
    <n v="42.59"/>
    <x v="637"/>
    <d v="2023-11-06T00:00:00"/>
    <x v="2"/>
    <n v="239.2"/>
    <n v="23.92"/>
    <n v="215.27999999999997"/>
    <n v="8"/>
    <x v="787"/>
    <n v="0"/>
  </r>
  <r>
    <d v="2024-06-12T00:00:00"/>
    <x v="0"/>
    <x v="0"/>
    <x v="17"/>
    <n v="418"/>
    <s v="Store C"/>
    <x v="0"/>
    <n v="0"/>
    <x v="5"/>
    <n v="3762"/>
    <x v="2"/>
    <s v="WINTER15"/>
    <n v="0"/>
    <s v="REG101072"/>
    <x v="1004"/>
    <n v="30.45"/>
    <x v="638"/>
    <d v="2024-06-18T00:00:00"/>
    <x v="0"/>
    <n v="3762"/>
    <n v="0"/>
    <n v="3762"/>
    <n v="6"/>
    <x v="0"/>
    <n v="0"/>
  </r>
  <r>
    <d v="2023-02-02T00:00:00"/>
    <x v="1"/>
    <x v="3"/>
    <x v="1"/>
    <n v="80.959999999999994"/>
    <s v="Store A"/>
    <x v="0"/>
    <n v="0"/>
    <x v="5"/>
    <n v="80.959999999999994"/>
    <x v="2"/>
    <s v="FREESHIP"/>
    <n v="0"/>
    <s v="REG101073"/>
    <x v="1005"/>
    <n v="48.07"/>
    <x v="233"/>
    <d v="2023-02-05T00:00:00"/>
    <x v="1"/>
    <n v="80.959999999999994"/>
    <n v="0"/>
    <n v="80.959999999999994"/>
    <n v="3"/>
    <x v="0"/>
    <n v="0"/>
  </r>
  <r>
    <d v="2023-05-04T00:00:00"/>
    <x v="0"/>
    <x v="1"/>
    <x v="11"/>
    <n v="42.12"/>
    <s v="Store B"/>
    <x v="0"/>
    <n v="0.15"/>
    <x v="1"/>
    <n v="716.04"/>
    <x v="2"/>
    <m/>
    <n v="0"/>
    <s v="REG101074"/>
    <x v="1006"/>
    <n v="43.22"/>
    <x v="639"/>
    <d v="2023-05-12T00:00:00"/>
    <x v="0"/>
    <n v="842.4"/>
    <n v="126.35999999999999"/>
    <n v="716.04"/>
    <n v="8"/>
    <x v="788"/>
    <n v="0"/>
  </r>
  <r>
    <d v="2023-05-24T00:00:00"/>
    <x v="4"/>
    <x v="4"/>
    <x v="5"/>
    <n v="366.65"/>
    <s v="Store D"/>
    <x v="0"/>
    <n v="0"/>
    <x v="3"/>
    <n v="1099.95"/>
    <x v="2"/>
    <s v="SAVE10"/>
    <n v="0"/>
    <s v="REG101075"/>
    <x v="1007"/>
    <n v="33.6"/>
    <x v="56"/>
    <d v="2023-05-31T00:00:00"/>
    <x v="4"/>
    <n v="1099.9499999999998"/>
    <n v="0"/>
    <n v="1099.9499999999998"/>
    <n v="7"/>
    <x v="0"/>
    <n v="0"/>
  </r>
  <r>
    <d v="2023-02-03T00:00:00"/>
    <x v="4"/>
    <x v="4"/>
    <x v="8"/>
    <n v="534.91999999999996"/>
    <s v="Store D"/>
    <x v="1"/>
    <n v="0"/>
    <x v="4"/>
    <n v="10163.48"/>
    <x v="0"/>
    <m/>
    <n v="0"/>
    <s v="REG101076"/>
    <x v="1008"/>
    <n v="26.97"/>
    <x v="151"/>
    <d v="2023-02-13T00:00:00"/>
    <x v="4"/>
    <n v="10163.48"/>
    <n v="0"/>
    <n v="10163.48"/>
    <n v="10"/>
    <x v="0"/>
    <n v="0"/>
  </r>
  <r>
    <d v="2023-12-25T00:00:00"/>
    <x v="0"/>
    <x v="3"/>
    <x v="1"/>
    <n v="494.52"/>
    <s v="Store D"/>
    <x v="1"/>
    <n v="0"/>
    <x v="5"/>
    <n v="494.52"/>
    <x v="2"/>
    <m/>
    <n v="0"/>
    <s v="REG101077"/>
    <x v="1009"/>
    <n v="43.02"/>
    <x v="486"/>
    <d v="2024-01-02T00:00:00"/>
    <x v="0"/>
    <n v="494.52"/>
    <n v="0"/>
    <n v="494.52"/>
    <n v="8"/>
    <x v="0"/>
    <n v="0"/>
  </r>
  <r>
    <d v="2023-07-26T00:00:00"/>
    <x v="0"/>
    <x v="4"/>
    <x v="16"/>
    <n v="344.67"/>
    <s v="Store D"/>
    <x v="0"/>
    <n v="0.1"/>
    <x v="4"/>
    <n v="1861.2180000000001"/>
    <x v="0"/>
    <s v="SAVE10"/>
    <n v="1"/>
    <s v="REG101078"/>
    <x v="1010"/>
    <n v="31.13"/>
    <x v="238"/>
    <d v="2023-08-01T00:00:00"/>
    <x v="0"/>
    <n v="2068.02"/>
    <n v="206.80200000000002"/>
    <n v="1861.2179999999998"/>
    <n v="6"/>
    <x v="789"/>
    <n v="0"/>
  </r>
  <r>
    <d v="2024-06-06T00:00:00"/>
    <x v="3"/>
    <x v="4"/>
    <x v="13"/>
    <n v="489.14"/>
    <s v="Store D"/>
    <x v="1"/>
    <n v="0.15"/>
    <x v="5"/>
    <n v="4989.2280000000001"/>
    <x v="0"/>
    <s v="SAVE10"/>
    <n v="0"/>
    <s v="REG101079"/>
    <x v="75"/>
    <n v="29.31"/>
    <x v="566"/>
    <d v="2024-06-15T00:00:00"/>
    <x v="3"/>
    <n v="5869.68"/>
    <n v="880.452"/>
    <n v="4989.2280000000001"/>
    <n v="9"/>
    <x v="790"/>
    <n v="0"/>
  </r>
  <r>
    <d v="2024-10-13T00:00:00"/>
    <x v="1"/>
    <x v="6"/>
    <x v="2"/>
    <n v="256.23"/>
    <s v="Store B"/>
    <x v="0"/>
    <n v="0.05"/>
    <x v="0"/>
    <n v="4381.5330000000004"/>
    <x v="3"/>
    <m/>
    <n v="0"/>
    <s v="REG101080"/>
    <x v="1011"/>
    <n v="11.21"/>
    <x v="129"/>
    <d v="2024-10-18T00:00:00"/>
    <x v="1"/>
    <n v="4612.1400000000003"/>
    <n v="230.60700000000003"/>
    <n v="4381.5330000000004"/>
    <n v="5"/>
    <x v="791"/>
    <n v="0"/>
  </r>
  <r>
    <d v="2024-11-03T00:00:00"/>
    <x v="2"/>
    <x v="6"/>
    <x v="9"/>
    <n v="99.76"/>
    <s v="Store C"/>
    <x v="0"/>
    <n v="0"/>
    <x v="4"/>
    <n v="1695.92"/>
    <x v="0"/>
    <s v="FREESHIP"/>
    <n v="1"/>
    <s v="REG101081"/>
    <x v="370"/>
    <n v="21.89"/>
    <x v="640"/>
    <d v="2024-11-13T00:00:00"/>
    <x v="2"/>
    <n v="1695.92"/>
    <n v="0"/>
    <n v="1695.92"/>
    <n v="10"/>
    <x v="0"/>
    <n v="0"/>
  </r>
  <r>
    <d v="2024-02-03T00:00:00"/>
    <x v="2"/>
    <x v="6"/>
    <x v="0"/>
    <n v="575.66"/>
    <s v="Store C"/>
    <x v="0"/>
    <n v="0.1"/>
    <x v="2"/>
    <n v="7253.3159999999998"/>
    <x v="2"/>
    <m/>
    <n v="0"/>
    <s v="REG101082"/>
    <x v="1012"/>
    <n v="32.53"/>
    <x v="490"/>
    <d v="2024-02-11T00:00:00"/>
    <x v="2"/>
    <n v="8059.24"/>
    <n v="805.92399999999998"/>
    <n v="7253.3159999999998"/>
    <n v="8"/>
    <x v="792"/>
    <n v="0"/>
  </r>
  <r>
    <d v="2023-01-10T00:00:00"/>
    <x v="0"/>
    <x v="3"/>
    <x v="16"/>
    <n v="176.52"/>
    <s v="Store D"/>
    <x v="0"/>
    <n v="0.15"/>
    <x v="1"/>
    <n v="900.25200000000007"/>
    <x v="0"/>
    <s v="FREESHIP"/>
    <n v="0"/>
    <s v="REG101083"/>
    <x v="1013"/>
    <n v="16.98"/>
    <x v="579"/>
    <d v="2023-01-13T00:00:00"/>
    <x v="0"/>
    <n v="1059.1200000000001"/>
    <n v="158.86800000000002"/>
    <n v="900.25200000000007"/>
    <n v="3"/>
    <x v="793"/>
    <n v="0"/>
  </r>
  <r>
    <d v="2023-10-16T00:00:00"/>
    <x v="0"/>
    <x v="5"/>
    <x v="16"/>
    <n v="485.66"/>
    <s v="Store D"/>
    <x v="0"/>
    <n v="0.05"/>
    <x v="0"/>
    <n v="2768.2620000000002"/>
    <x v="1"/>
    <s v="FREESHIP"/>
    <n v="0"/>
    <s v="REG101084"/>
    <x v="1014"/>
    <n v="30.62"/>
    <x v="641"/>
    <d v="2023-10-22T00:00:00"/>
    <x v="0"/>
    <n v="2913.96"/>
    <n v="145.69800000000001"/>
    <n v="2768.2620000000002"/>
    <n v="6"/>
    <x v="794"/>
    <n v="0"/>
  </r>
  <r>
    <d v="2025-03-19T00:00:00"/>
    <x v="3"/>
    <x v="0"/>
    <x v="19"/>
    <n v="141.61000000000001"/>
    <s v="Store B"/>
    <x v="1"/>
    <n v="0.1"/>
    <x v="5"/>
    <n v="1019.592"/>
    <x v="1"/>
    <s v="WINTER15"/>
    <n v="0"/>
    <s v="REG101085"/>
    <x v="1015"/>
    <n v="14.02"/>
    <x v="302"/>
    <d v="2025-03-24T00:00:00"/>
    <x v="3"/>
    <n v="1132.8800000000001"/>
    <n v="113.28800000000001"/>
    <n v="1019.5920000000001"/>
    <n v="5"/>
    <x v="795"/>
    <n v="0"/>
  </r>
  <r>
    <d v="2024-12-16T00:00:00"/>
    <x v="4"/>
    <x v="2"/>
    <x v="17"/>
    <n v="215.29"/>
    <s v="Store C"/>
    <x v="0"/>
    <n v="0.1"/>
    <x v="1"/>
    <n v="1743.8489999999999"/>
    <x v="2"/>
    <s v="WINTER15"/>
    <n v="0"/>
    <s v="REG101086"/>
    <x v="1016"/>
    <n v="5.84"/>
    <x v="284"/>
    <d v="2024-12-19T00:00:00"/>
    <x v="4"/>
    <n v="1937.61"/>
    <n v="193.761"/>
    <n v="1743.8489999999999"/>
    <n v="3"/>
    <x v="796"/>
    <n v="0"/>
  </r>
  <r>
    <d v="2023-08-16T00:00:00"/>
    <x v="4"/>
    <x v="0"/>
    <x v="2"/>
    <n v="497.22"/>
    <s v="Store B"/>
    <x v="0"/>
    <n v="0.05"/>
    <x v="4"/>
    <n v="8502.4620000000014"/>
    <x v="2"/>
    <s v="WINTER15"/>
    <n v="0"/>
    <s v="REG101087"/>
    <x v="1017"/>
    <n v="17.39"/>
    <x v="484"/>
    <d v="2023-08-20T00:00:00"/>
    <x v="4"/>
    <n v="8949.9600000000009"/>
    <n v="447.49800000000005"/>
    <n v="8502.4620000000014"/>
    <n v="4"/>
    <x v="797"/>
    <n v="0"/>
  </r>
  <r>
    <d v="2023-01-10T00:00:00"/>
    <x v="0"/>
    <x v="2"/>
    <x v="14"/>
    <n v="347.73"/>
    <s v="Store B"/>
    <x v="0"/>
    <n v="0.05"/>
    <x v="4"/>
    <n v="4294.4654999999993"/>
    <x v="1"/>
    <s v="FREESHIP"/>
    <n v="1"/>
    <s v="REG101088"/>
    <x v="1018"/>
    <n v="31.81"/>
    <x v="579"/>
    <d v="2023-01-20T00:00:00"/>
    <x v="0"/>
    <n v="4520.49"/>
    <n v="226.02449999999999"/>
    <n v="4294.4655000000002"/>
    <n v="10"/>
    <x v="798"/>
    <n v="0"/>
  </r>
  <r>
    <d v="2025-05-09T00:00:00"/>
    <x v="3"/>
    <x v="3"/>
    <x v="5"/>
    <n v="371.21"/>
    <s v="Store C"/>
    <x v="0"/>
    <n v="0.1"/>
    <x v="0"/>
    <n v="1002.2670000000001"/>
    <x v="1"/>
    <s v="SAVE10"/>
    <n v="0"/>
    <s v="REG101089"/>
    <x v="1019"/>
    <n v="20.02"/>
    <x v="589"/>
    <d v="2025-05-18T00:00:00"/>
    <x v="3"/>
    <n v="1113.6299999999999"/>
    <n v="111.363"/>
    <n v="1002.2669999999998"/>
    <n v="9"/>
    <x v="799"/>
    <n v="0"/>
  </r>
  <r>
    <d v="2024-04-08T00:00:00"/>
    <x v="0"/>
    <x v="6"/>
    <x v="13"/>
    <n v="434.33"/>
    <s v="Store A"/>
    <x v="0"/>
    <n v="0.15"/>
    <x v="5"/>
    <n v="4430.1660000000002"/>
    <x v="4"/>
    <s v="FREESHIP"/>
    <n v="0"/>
    <s v="REG101090"/>
    <x v="261"/>
    <n v="15.33"/>
    <x v="413"/>
    <d v="2024-04-16T00:00:00"/>
    <x v="0"/>
    <n v="5211.96"/>
    <n v="781.79399999999998"/>
    <n v="4430.1660000000002"/>
    <n v="8"/>
    <x v="800"/>
    <n v="0"/>
  </r>
  <r>
    <d v="2025-05-06T00:00:00"/>
    <x v="0"/>
    <x v="4"/>
    <x v="18"/>
    <n v="426.65"/>
    <s v="Store A"/>
    <x v="1"/>
    <n v="0.1"/>
    <x v="4"/>
    <n v="6143.76"/>
    <x v="1"/>
    <m/>
    <n v="0"/>
    <s v="REG101091"/>
    <x v="1020"/>
    <n v="10.199999999999999"/>
    <x v="276"/>
    <d v="2025-05-15T00:00:00"/>
    <x v="0"/>
    <n v="6826.4"/>
    <n v="682.64"/>
    <n v="6143.7599999999993"/>
    <n v="9"/>
    <x v="801"/>
    <n v="0"/>
  </r>
  <r>
    <d v="2023-05-21T00:00:00"/>
    <x v="4"/>
    <x v="2"/>
    <x v="16"/>
    <n v="294.97000000000003"/>
    <s v="Store A"/>
    <x v="0"/>
    <n v="0.05"/>
    <x v="5"/>
    <n v="1681.329"/>
    <x v="2"/>
    <s v="WINTER15"/>
    <n v="0"/>
    <s v="REG101092"/>
    <x v="1021"/>
    <n v="48.08"/>
    <x v="642"/>
    <d v="2023-05-29T00:00:00"/>
    <x v="4"/>
    <n v="1769.8200000000002"/>
    <n v="88.491000000000014"/>
    <n v="1681.3290000000002"/>
    <n v="8"/>
    <x v="802"/>
    <n v="0"/>
  </r>
  <r>
    <d v="2023-11-23T00:00:00"/>
    <x v="3"/>
    <x v="1"/>
    <x v="13"/>
    <n v="130.9"/>
    <s v="Store D"/>
    <x v="1"/>
    <n v="0.15"/>
    <x v="1"/>
    <n v="1335.18"/>
    <x v="3"/>
    <s v="SAVE10"/>
    <n v="0"/>
    <s v="REG101093"/>
    <x v="1022"/>
    <n v="34.69"/>
    <x v="488"/>
    <d v="2023-11-30T00:00:00"/>
    <x v="3"/>
    <n v="1570.8000000000002"/>
    <n v="235.62"/>
    <n v="1335.1800000000003"/>
    <n v="7"/>
    <x v="803"/>
    <n v="0"/>
  </r>
  <r>
    <d v="2024-03-26T00:00:00"/>
    <x v="2"/>
    <x v="4"/>
    <x v="2"/>
    <n v="539.98"/>
    <s v="Store C"/>
    <x v="1"/>
    <n v="0.15"/>
    <x v="0"/>
    <n v="8261.6939999999995"/>
    <x v="4"/>
    <s v="FREESHIP"/>
    <n v="1"/>
    <s v="REG101094"/>
    <x v="1023"/>
    <n v="34.44"/>
    <x v="643"/>
    <d v="2024-04-05T00:00:00"/>
    <x v="2"/>
    <n v="9719.64"/>
    <n v="1457.9459999999999"/>
    <n v="8261.6939999999995"/>
    <n v="10"/>
    <x v="804"/>
    <n v="0"/>
  </r>
  <r>
    <d v="2024-09-25T00:00:00"/>
    <x v="1"/>
    <x v="2"/>
    <x v="13"/>
    <n v="149.37"/>
    <s v="Store D"/>
    <x v="1"/>
    <n v="0.1"/>
    <x v="5"/>
    <n v="1613.1959999999999"/>
    <x v="2"/>
    <m/>
    <n v="0"/>
    <s v="REG101095"/>
    <x v="1024"/>
    <n v="20.21"/>
    <x v="644"/>
    <d v="2024-10-02T00:00:00"/>
    <x v="1"/>
    <n v="1792.44"/>
    <n v="179.24400000000003"/>
    <n v="1613.1959999999999"/>
    <n v="7"/>
    <x v="805"/>
    <n v="0"/>
  </r>
  <r>
    <d v="2023-04-06T00:00:00"/>
    <x v="0"/>
    <x v="3"/>
    <x v="6"/>
    <n v="411.24"/>
    <s v="Store A"/>
    <x v="0"/>
    <n v="0.15"/>
    <x v="5"/>
    <n v="1747.77"/>
    <x v="4"/>
    <s v="WINTER15"/>
    <n v="1"/>
    <s v="REG101096"/>
    <x v="1025"/>
    <n v="5.35"/>
    <x v="645"/>
    <d v="2023-04-10T00:00:00"/>
    <x v="0"/>
    <n v="2056.1999999999998"/>
    <n v="308.42999999999995"/>
    <n v="1747.77"/>
    <n v="4"/>
    <x v="806"/>
    <n v="0"/>
  </r>
  <r>
    <d v="2024-06-24T00:00:00"/>
    <x v="2"/>
    <x v="3"/>
    <x v="18"/>
    <n v="462.86"/>
    <s v="Store D"/>
    <x v="1"/>
    <n v="0.05"/>
    <x v="5"/>
    <n v="7035.4719999999998"/>
    <x v="4"/>
    <m/>
    <n v="1"/>
    <s v="REG101097"/>
    <x v="1026"/>
    <n v="17.43"/>
    <x v="503"/>
    <d v="2024-06-26T00:00:00"/>
    <x v="2"/>
    <n v="7405.76"/>
    <n v="370.28800000000001"/>
    <n v="7035.4719999999998"/>
    <n v="2"/>
    <x v="807"/>
    <n v="0"/>
  </r>
  <r>
    <d v="2024-12-15T00:00:00"/>
    <x v="1"/>
    <x v="0"/>
    <x v="9"/>
    <n v="506.38"/>
    <s v="Store B"/>
    <x v="0"/>
    <n v="0"/>
    <x v="3"/>
    <n v="8608.4599999999991"/>
    <x v="4"/>
    <s v="WINTER15"/>
    <n v="1"/>
    <s v="REG101098"/>
    <x v="1027"/>
    <n v="33.36"/>
    <x v="646"/>
    <d v="2024-12-23T00:00:00"/>
    <x v="1"/>
    <n v="8608.4599999999991"/>
    <n v="0"/>
    <n v="8608.4599999999991"/>
    <n v="8"/>
    <x v="0"/>
    <n v="0"/>
  </r>
  <r>
    <d v="2024-10-03T00:00:00"/>
    <x v="2"/>
    <x v="2"/>
    <x v="8"/>
    <n v="25.61"/>
    <s v="Store B"/>
    <x v="1"/>
    <n v="0"/>
    <x v="5"/>
    <n v="486.59"/>
    <x v="1"/>
    <m/>
    <n v="0"/>
    <s v="REG101099"/>
    <x v="497"/>
    <n v="30.32"/>
    <x v="449"/>
    <d v="2024-10-11T00:00:00"/>
    <x v="2"/>
    <n v="486.59"/>
    <n v="0"/>
    <n v="486.59"/>
    <n v="8"/>
    <x v="0"/>
    <n v="0"/>
  </r>
  <r>
    <d v="2023-09-03T00:00:00"/>
    <x v="1"/>
    <x v="2"/>
    <x v="15"/>
    <n v="467.45"/>
    <s v="Store C"/>
    <x v="0"/>
    <n v="0.05"/>
    <x v="2"/>
    <n v="1776.31"/>
    <x v="1"/>
    <s v="WINTER15"/>
    <n v="0"/>
    <s v="REG101100"/>
    <x v="1028"/>
    <n v="25.05"/>
    <x v="34"/>
    <d v="2023-09-13T00:00:00"/>
    <x v="1"/>
    <n v="1869.8"/>
    <n v="93.490000000000009"/>
    <n v="1776.31"/>
    <n v="10"/>
    <x v="808"/>
    <n v="0"/>
  </r>
  <r>
    <d v="2023-01-29T00:00:00"/>
    <x v="2"/>
    <x v="6"/>
    <x v="12"/>
    <n v="140.5"/>
    <s v="Store B"/>
    <x v="1"/>
    <n v="0.15"/>
    <x v="3"/>
    <n v="1194.25"/>
    <x v="0"/>
    <s v="FREESHIP"/>
    <n v="0"/>
    <s v="REG101101"/>
    <x v="702"/>
    <n v="43.81"/>
    <x v="603"/>
    <d v="2023-02-05T00:00:00"/>
    <x v="2"/>
    <n v="1405"/>
    <n v="210.75"/>
    <n v="1194.25"/>
    <n v="7"/>
    <x v="809"/>
    <n v="0"/>
  </r>
  <r>
    <d v="2024-06-12T00:00:00"/>
    <x v="2"/>
    <x v="1"/>
    <x v="19"/>
    <n v="57.85"/>
    <s v="Store D"/>
    <x v="0"/>
    <n v="0"/>
    <x v="2"/>
    <n v="462.8"/>
    <x v="0"/>
    <s v="WINTER15"/>
    <n v="1"/>
    <s v="REG101102"/>
    <x v="1029"/>
    <n v="49.82"/>
    <x v="638"/>
    <d v="2024-06-20T00:00:00"/>
    <x v="2"/>
    <n v="462.8"/>
    <n v="0"/>
    <n v="462.8"/>
    <n v="8"/>
    <x v="0"/>
    <n v="0"/>
  </r>
  <r>
    <d v="2024-11-24T00:00:00"/>
    <x v="2"/>
    <x v="4"/>
    <x v="17"/>
    <n v="539.64"/>
    <s v="Store A"/>
    <x v="1"/>
    <n v="0.15"/>
    <x v="1"/>
    <n v="4128.2460000000001"/>
    <x v="1"/>
    <m/>
    <n v="0"/>
    <s v="REG101103"/>
    <x v="1030"/>
    <n v="16.079999999999998"/>
    <x v="224"/>
    <d v="2024-12-03T00:00:00"/>
    <x v="2"/>
    <n v="4856.76"/>
    <n v="728.51400000000001"/>
    <n v="4128.2460000000001"/>
    <n v="9"/>
    <x v="810"/>
    <n v="0"/>
  </r>
  <r>
    <d v="2023-08-15T00:00:00"/>
    <x v="4"/>
    <x v="4"/>
    <x v="2"/>
    <n v="476.32"/>
    <s v="Store A"/>
    <x v="0"/>
    <n v="0"/>
    <x v="4"/>
    <n v="8573.76"/>
    <x v="2"/>
    <s v="SAVE10"/>
    <n v="1"/>
    <s v="REG101104"/>
    <x v="1031"/>
    <n v="47.43"/>
    <x v="374"/>
    <d v="2023-08-20T00:00:00"/>
    <x v="4"/>
    <n v="8573.76"/>
    <n v="0"/>
    <n v="8573.76"/>
    <n v="5"/>
    <x v="0"/>
    <n v="0"/>
  </r>
  <r>
    <d v="2024-08-21T00:00:00"/>
    <x v="3"/>
    <x v="5"/>
    <x v="10"/>
    <n v="143.85"/>
    <s v="Store A"/>
    <x v="0"/>
    <n v="0.1"/>
    <x v="0"/>
    <n v="1424.115"/>
    <x v="3"/>
    <s v="FREESHIP"/>
    <n v="0"/>
    <s v="REG101105"/>
    <x v="1032"/>
    <n v="6.85"/>
    <x v="647"/>
    <d v="2024-08-30T00:00:00"/>
    <x v="3"/>
    <n v="1582.35"/>
    <n v="158.23500000000001"/>
    <n v="1424.1149999999998"/>
    <n v="9"/>
    <x v="811"/>
    <n v="0"/>
  </r>
  <r>
    <d v="2023-05-24T00:00:00"/>
    <x v="4"/>
    <x v="4"/>
    <x v="15"/>
    <n v="323.63"/>
    <s v="Store C"/>
    <x v="1"/>
    <n v="0.1"/>
    <x v="3"/>
    <n v="1165.068"/>
    <x v="2"/>
    <s v="FREESHIP"/>
    <n v="0"/>
    <s v="REG101106"/>
    <x v="1033"/>
    <n v="32.92"/>
    <x v="56"/>
    <d v="2023-06-01T00:00:00"/>
    <x v="4"/>
    <n v="1294.52"/>
    <n v="129.452"/>
    <n v="1165.068"/>
    <n v="8"/>
    <x v="812"/>
    <n v="0"/>
  </r>
  <r>
    <d v="2023-04-27T00:00:00"/>
    <x v="4"/>
    <x v="4"/>
    <x v="18"/>
    <n v="37.4"/>
    <s v="Store A"/>
    <x v="0"/>
    <n v="0.05"/>
    <x v="5"/>
    <n v="568.4799999999999"/>
    <x v="2"/>
    <s v="FREESHIP"/>
    <n v="0"/>
    <s v="REG101107"/>
    <x v="1034"/>
    <n v="49.55"/>
    <x v="178"/>
    <d v="2023-05-01T00:00:00"/>
    <x v="4"/>
    <n v="598.4"/>
    <n v="29.92"/>
    <n v="568.48"/>
    <n v="4"/>
    <x v="813"/>
    <n v="0"/>
  </r>
  <r>
    <d v="2023-05-21T00:00:00"/>
    <x v="0"/>
    <x v="5"/>
    <x v="1"/>
    <n v="418.98"/>
    <s v="Store B"/>
    <x v="1"/>
    <n v="0.1"/>
    <x v="3"/>
    <n v="377.08200000000011"/>
    <x v="1"/>
    <s v="FREESHIP"/>
    <n v="0"/>
    <s v="REG101108"/>
    <x v="1035"/>
    <n v="43.72"/>
    <x v="642"/>
    <d v="2023-05-26T00:00:00"/>
    <x v="0"/>
    <n v="418.98"/>
    <n v="41.898000000000003"/>
    <n v="377.08199999999999"/>
    <n v="5"/>
    <x v="814"/>
    <n v="0"/>
  </r>
  <r>
    <d v="2025-02-16T00:00:00"/>
    <x v="0"/>
    <x v="4"/>
    <x v="13"/>
    <n v="108.35"/>
    <s v="Store A"/>
    <x v="0"/>
    <n v="0"/>
    <x v="4"/>
    <n v="1300.2"/>
    <x v="0"/>
    <s v="FREESHIP"/>
    <n v="0"/>
    <s v="REG101109"/>
    <x v="1036"/>
    <n v="42.06"/>
    <x v="586"/>
    <d v="2025-02-25T00:00:00"/>
    <x v="0"/>
    <n v="1300.1999999999998"/>
    <n v="0"/>
    <n v="1300.1999999999998"/>
    <n v="9"/>
    <x v="0"/>
    <n v="0"/>
  </r>
  <r>
    <d v="2023-08-24T00:00:00"/>
    <x v="0"/>
    <x v="5"/>
    <x v="6"/>
    <n v="256.42"/>
    <s v="Store B"/>
    <x v="1"/>
    <n v="0"/>
    <x v="1"/>
    <n v="1282.0999999999999"/>
    <x v="1"/>
    <s v="FREESHIP"/>
    <n v="0"/>
    <s v="REG101110"/>
    <x v="1037"/>
    <n v="28.74"/>
    <x v="648"/>
    <d v="2023-08-29T00:00:00"/>
    <x v="0"/>
    <n v="1282.1000000000001"/>
    <n v="0"/>
    <n v="1282.1000000000001"/>
    <n v="5"/>
    <x v="0"/>
    <n v="0"/>
  </r>
  <r>
    <d v="2024-03-14T00:00:00"/>
    <x v="0"/>
    <x v="2"/>
    <x v="18"/>
    <n v="544.91"/>
    <s v="Store B"/>
    <x v="1"/>
    <n v="0.1"/>
    <x v="2"/>
    <n v="7846.7039999999997"/>
    <x v="2"/>
    <s v="FREESHIP"/>
    <n v="0"/>
    <s v="REG101111"/>
    <x v="1038"/>
    <n v="39.26"/>
    <x v="47"/>
    <d v="2024-03-21T00:00:00"/>
    <x v="0"/>
    <n v="8718.56"/>
    <n v="871.85599999999999"/>
    <n v="7846.7039999999997"/>
    <n v="7"/>
    <x v="815"/>
    <n v="0"/>
  </r>
  <r>
    <d v="2024-01-29T00:00:00"/>
    <x v="2"/>
    <x v="2"/>
    <x v="8"/>
    <n v="113.42"/>
    <s v="Store A"/>
    <x v="1"/>
    <n v="0"/>
    <x v="0"/>
    <n v="2154.98"/>
    <x v="3"/>
    <s v="WINTER15"/>
    <n v="0"/>
    <s v="REG101112"/>
    <x v="1039"/>
    <n v="44.96"/>
    <x v="282"/>
    <d v="2024-02-07T00:00:00"/>
    <x v="2"/>
    <n v="2154.98"/>
    <n v="0"/>
    <n v="2154.98"/>
    <n v="9"/>
    <x v="0"/>
    <n v="0"/>
  </r>
  <r>
    <d v="2024-08-09T00:00:00"/>
    <x v="1"/>
    <x v="1"/>
    <x v="12"/>
    <n v="522.73"/>
    <s v="Store C"/>
    <x v="1"/>
    <n v="0.1"/>
    <x v="5"/>
    <n v="4704.5700000000006"/>
    <x v="2"/>
    <m/>
    <n v="0"/>
    <s v="REG101113"/>
    <x v="1040"/>
    <n v="20.059999999999999"/>
    <x v="649"/>
    <d v="2024-08-15T00:00:00"/>
    <x v="1"/>
    <n v="5227.3"/>
    <n v="522.73"/>
    <n v="4704.57"/>
    <n v="6"/>
    <x v="816"/>
    <n v="0"/>
  </r>
  <r>
    <d v="2024-07-08T00:00:00"/>
    <x v="2"/>
    <x v="5"/>
    <x v="2"/>
    <n v="448.03"/>
    <s v="Store B"/>
    <x v="1"/>
    <n v="0.15"/>
    <x v="2"/>
    <n v="6854.8589999999986"/>
    <x v="4"/>
    <s v="WINTER15"/>
    <n v="1"/>
    <s v="REG101114"/>
    <x v="1041"/>
    <n v="13.23"/>
    <x v="172"/>
    <d v="2024-07-17T00:00:00"/>
    <x v="2"/>
    <n v="8064.5399999999991"/>
    <n v="1209.6809999999998"/>
    <n v="6854.8589999999995"/>
    <n v="9"/>
    <x v="817"/>
    <n v="0"/>
  </r>
  <r>
    <d v="2024-08-20T00:00:00"/>
    <x v="2"/>
    <x v="4"/>
    <x v="7"/>
    <n v="208.51"/>
    <s v="Store A"/>
    <x v="1"/>
    <n v="0.05"/>
    <x v="3"/>
    <n v="2971.267499999999"/>
    <x v="1"/>
    <m/>
    <n v="0"/>
    <s v="REG101115"/>
    <x v="1042"/>
    <n v="37.81"/>
    <x v="650"/>
    <d v="2024-08-29T00:00:00"/>
    <x v="2"/>
    <n v="3127.6499999999996"/>
    <n v="156.38249999999999"/>
    <n v="2971.2674999999995"/>
    <n v="9"/>
    <x v="818"/>
    <n v="0"/>
  </r>
  <r>
    <d v="2023-06-26T00:00:00"/>
    <x v="3"/>
    <x v="0"/>
    <x v="14"/>
    <n v="423.64"/>
    <s v="Store C"/>
    <x v="1"/>
    <n v="0.1"/>
    <x v="1"/>
    <n v="4956.5879999999997"/>
    <x v="3"/>
    <m/>
    <n v="1"/>
    <s v="REG101116"/>
    <x v="1043"/>
    <n v="23.31"/>
    <x v="651"/>
    <d v="2023-06-28T00:00:00"/>
    <x v="3"/>
    <n v="5507.32"/>
    <n v="550.73199999999997"/>
    <n v="4956.5879999999997"/>
    <n v="2"/>
    <x v="819"/>
    <n v="0"/>
  </r>
  <r>
    <d v="2023-12-23T00:00:00"/>
    <x v="0"/>
    <x v="3"/>
    <x v="6"/>
    <n v="552.26"/>
    <s v="Store D"/>
    <x v="0"/>
    <n v="0.15"/>
    <x v="1"/>
    <n v="2347.105"/>
    <x v="3"/>
    <s v="WINTER15"/>
    <n v="0"/>
    <s v="REG101117"/>
    <x v="1044"/>
    <n v="26.5"/>
    <x v="467"/>
    <d v="2023-12-25T00:00:00"/>
    <x v="0"/>
    <n v="2761.3"/>
    <n v="414.19499999999999"/>
    <n v="2347.105"/>
    <n v="2"/>
    <x v="820"/>
    <n v="0"/>
  </r>
  <r>
    <d v="2023-08-20T00:00:00"/>
    <x v="3"/>
    <x v="2"/>
    <x v="1"/>
    <n v="182.11"/>
    <s v="Store A"/>
    <x v="1"/>
    <n v="0.1"/>
    <x v="3"/>
    <n v="163.899"/>
    <x v="2"/>
    <s v="WINTER15"/>
    <n v="0"/>
    <s v="REG101118"/>
    <x v="1045"/>
    <n v="7.31"/>
    <x v="652"/>
    <d v="2023-08-27T00:00:00"/>
    <x v="3"/>
    <n v="182.11"/>
    <n v="18.211000000000002"/>
    <n v="163.899"/>
    <n v="7"/>
    <x v="821"/>
    <n v="0"/>
  </r>
  <r>
    <d v="2024-10-28T00:00:00"/>
    <x v="4"/>
    <x v="2"/>
    <x v="4"/>
    <n v="466.36"/>
    <s v="Store D"/>
    <x v="0"/>
    <n v="0.05"/>
    <x v="5"/>
    <n v="3101.2939999999999"/>
    <x v="0"/>
    <s v="SAVE10"/>
    <n v="1"/>
    <s v="REG101119"/>
    <x v="1046"/>
    <n v="11.45"/>
    <x v="653"/>
    <d v="2024-11-06T00:00:00"/>
    <x v="4"/>
    <n v="3264.52"/>
    <n v="163.226"/>
    <n v="3101.2939999999999"/>
    <n v="9"/>
    <x v="822"/>
    <n v="0"/>
  </r>
  <r>
    <d v="2024-11-11T00:00:00"/>
    <x v="0"/>
    <x v="6"/>
    <x v="7"/>
    <n v="140.54"/>
    <s v="Store A"/>
    <x v="0"/>
    <n v="0.1"/>
    <x v="0"/>
    <n v="1897.29"/>
    <x v="2"/>
    <s v="SAVE10"/>
    <n v="0"/>
    <s v="REG101120"/>
    <x v="1047"/>
    <n v="49.91"/>
    <x v="207"/>
    <d v="2024-11-21T00:00:00"/>
    <x v="0"/>
    <n v="2108.1"/>
    <n v="210.81"/>
    <n v="1897.29"/>
    <n v="10"/>
    <x v="823"/>
    <n v="0"/>
  </r>
  <r>
    <d v="2023-12-07T00:00:00"/>
    <x v="4"/>
    <x v="2"/>
    <x v="9"/>
    <n v="460.31"/>
    <s v="Store A"/>
    <x v="1"/>
    <n v="0.15"/>
    <x v="4"/>
    <n v="6651.4795000000004"/>
    <x v="0"/>
    <s v="WINTER15"/>
    <n v="0"/>
    <s v="REG101121"/>
    <x v="1048"/>
    <n v="40.18"/>
    <x v="654"/>
    <d v="2023-12-15T00:00:00"/>
    <x v="4"/>
    <n v="7825.27"/>
    <n v="1173.7905000000001"/>
    <n v="6651.4795000000004"/>
    <n v="8"/>
    <x v="824"/>
    <n v="0"/>
  </r>
  <r>
    <d v="2024-03-23T00:00:00"/>
    <x v="4"/>
    <x v="0"/>
    <x v="6"/>
    <n v="132.87"/>
    <s v="Store B"/>
    <x v="1"/>
    <n v="0"/>
    <x v="5"/>
    <n v="664.35"/>
    <x v="3"/>
    <s v="WINTER15"/>
    <n v="0"/>
    <s v="REG101122"/>
    <x v="1049"/>
    <n v="37.909999999999997"/>
    <x v="105"/>
    <d v="2024-04-02T00:00:00"/>
    <x v="4"/>
    <n v="664.35"/>
    <n v="0"/>
    <n v="664.35"/>
    <n v="10"/>
    <x v="0"/>
    <n v="0"/>
  </r>
  <r>
    <d v="2024-10-29T00:00:00"/>
    <x v="4"/>
    <x v="5"/>
    <x v="13"/>
    <n v="209.86"/>
    <s v="Store D"/>
    <x v="1"/>
    <n v="0.05"/>
    <x v="5"/>
    <n v="2392.404"/>
    <x v="0"/>
    <s v="WINTER15"/>
    <n v="0"/>
    <s v="REG101123"/>
    <x v="1050"/>
    <n v="8.7799999999999994"/>
    <x v="525"/>
    <d v="2024-11-02T00:00:00"/>
    <x v="4"/>
    <n v="2518.3200000000002"/>
    <n v="125.91600000000001"/>
    <n v="2392.404"/>
    <n v="4"/>
    <x v="825"/>
    <n v="0"/>
  </r>
  <r>
    <d v="2025-06-17T00:00:00"/>
    <x v="0"/>
    <x v="0"/>
    <x v="17"/>
    <n v="31.35"/>
    <s v="Store B"/>
    <x v="1"/>
    <n v="0.1"/>
    <x v="4"/>
    <n v="253.935"/>
    <x v="4"/>
    <s v="SAVE10"/>
    <n v="0"/>
    <s v="REG101124"/>
    <x v="1051"/>
    <n v="39.32"/>
    <x v="655"/>
    <d v="2025-06-22T00:00:00"/>
    <x v="0"/>
    <n v="282.15000000000003"/>
    <n v="28.215000000000003"/>
    <n v="253.93500000000003"/>
    <n v="5"/>
    <x v="826"/>
    <n v="0"/>
  </r>
  <r>
    <d v="2023-03-18T00:00:00"/>
    <x v="2"/>
    <x v="3"/>
    <x v="10"/>
    <n v="335.11"/>
    <s v="Store C"/>
    <x v="1"/>
    <n v="0"/>
    <x v="2"/>
    <n v="3686.21"/>
    <x v="1"/>
    <s v="FREESHIP"/>
    <n v="0"/>
    <s v="REG101125"/>
    <x v="1052"/>
    <n v="29.95"/>
    <x v="132"/>
    <d v="2023-03-26T00:00:00"/>
    <x v="2"/>
    <n v="3686.21"/>
    <n v="0"/>
    <n v="3686.21"/>
    <n v="8"/>
    <x v="0"/>
    <n v="0"/>
  </r>
  <r>
    <d v="2023-01-19T00:00:00"/>
    <x v="0"/>
    <x v="1"/>
    <x v="19"/>
    <n v="277.43"/>
    <s v="Store D"/>
    <x v="0"/>
    <n v="0"/>
    <x v="3"/>
    <n v="2219.44"/>
    <x v="0"/>
    <s v="SAVE10"/>
    <n v="0"/>
    <s v="REG101126"/>
    <x v="1053"/>
    <n v="36.380000000000003"/>
    <x v="656"/>
    <d v="2023-01-23T00:00:00"/>
    <x v="0"/>
    <n v="2219.44"/>
    <n v="0"/>
    <n v="2219.44"/>
    <n v="4"/>
    <x v="0"/>
    <n v="0"/>
  </r>
  <r>
    <d v="2023-07-09T00:00:00"/>
    <x v="4"/>
    <x v="2"/>
    <x v="16"/>
    <n v="287.72000000000003"/>
    <s v="Store A"/>
    <x v="1"/>
    <n v="0.05"/>
    <x v="5"/>
    <n v="1640.0039999999999"/>
    <x v="3"/>
    <s v="WINTER15"/>
    <n v="0"/>
    <s v="REG101127"/>
    <x v="1054"/>
    <n v="17.14"/>
    <x v="657"/>
    <d v="2023-07-14T00:00:00"/>
    <x v="4"/>
    <n v="1726.3200000000002"/>
    <n v="86.316000000000017"/>
    <n v="1640.0040000000001"/>
    <n v="5"/>
    <x v="827"/>
    <n v="0"/>
  </r>
  <r>
    <d v="2025-03-16T00:00:00"/>
    <x v="0"/>
    <x v="0"/>
    <x v="0"/>
    <n v="459.61"/>
    <s v="Store B"/>
    <x v="1"/>
    <n v="0.05"/>
    <x v="2"/>
    <n v="6112.8130000000001"/>
    <x v="0"/>
    <m/>
    <n v="1"/>
    <s v="REG101128"/>
    <x v="1055"/>
    <n v="43.41"/>
    <x v="527"/>
    <d v="2025-03-26T00:00:00"/>
    <x v="0"/>
    <n v="6434.54"/>
    <n v="321.72700000000003"/>
    <n v="6112.8130000000001"/>
    <n v="10"/>
    <x v="828"/>
    <n v="0"/>
  </r>
  <r>
    <d v="2025-02-08T00:00:00"/>
    <x v="2"/>
    <x v="5"/>
    <x v="12"/>
    <n v="396.73"/>
    <s v="Store B"/>
    <x v="1"/>
    <n v="0.1"/>
    <x v="0"/>
    <n v="3570.57"/>
    <x v="0"/>
    <s v="FREESHIP"/>
    <n v="0"/>
    <s v="REG101129"/>
    <x v="1056"/>
    <n v="18.13"/>
    <x v="658"/>
    <d v="2025-02-13T00:00:00"/>
    <x v="2"/>
    <n v="3967.3"/>
    <n v="396.73"/>
    <n v="3570.57"/>
    <n v="5"/>
    <x v="829"/>
    <n v="0"/>
  </r>
  <r>
    <d v="2024-04-20T00:00:00"/>
    <x v="1"/>
    <x v="6"/>
    <x v="11"/>
    <n v="516.42999999999995"/>
    <s v="Store B"/>
    <x v="1"/>
    <n v="0"/>
    <x v="5"/>
    <n v="10328.6"/>
    <x v="0"/>
    <s v="FREESHIP"/>
    <n v="0"/>
    <s v="REG101130"/>
    <x v="118"/>
    <n v="36.229999999999997"/>
    <x v="528"/>
    <d v="2024-04-22T00:00:00"/>
    <x v="1"/>
    <n v="10328.599999999999"/>
    <n v="0"/>
    <n v="10328.599999999999"/>
    <n v="2"/>
    <x v="0"/>
    <n v="0"/>
  </r>
  <r>
    <d v="2025-06-05T00:00:00"/>
    <x v="0"/>
    <x v="0"/>
    <x v="1"/>
    <n v="299.66000000000003"/>
    <s v="Store A"/>
    <x v="1"/>
    <n v="0.1"/>
    <x v="4"/>
    <n v="269.69400000000002"/>
    <x v="4"/>
    <s v="SAVE10"/>
    <n v="0"/>
    <s v="REG101131"/>
    <x v="1057"/>
    <n v="38.94"/>
    <x v="20"/>
    <d v="2025-06-07T00:00:00"/>
    <x v="0"/>
    <n v="299.66000000000003"/>
    <n v="29.966000000000005"/>
    <n v="269.69400000000002"/>
    <n v="2"/>
    <x v="830"/>
    <n v="0"/>
  </r>
  <r>
    <d v="2025-04-25T00:00:00"/>
    <x v="1"/>
    <x v="3"/>
    <x v="13"/>
    <n v="31.72"/>
    <s v="Store B"/>
    <x v="1"/>
    <n v="0"/>
    <x v="1"/>
    <n v="380.64"/>
    <x v="3"/>
    <s v="SAVE10"/>
    <n v="0"/>
    <s v="REG101132"/>
    <x v="1058"/>
    <n v="30.78"/>
    <x v="659"/>
    <d v="2025-05-03T00:00:00"/>
    <x v="1"/>
    <n v="380.64"/>
    <n v="0"/>
    <n v="380.64"/>
    <n v="8"/>
    <x v="0"/>
    <n v="0"/>
  </r>
  <r>
    <d v="2023-09-06T00:00:00"/>
    <x v="3"/>
    <x v="1"/>
    <x v="9"/>
    <n v="588.58000000000004"/>
    <s v="Store D"/>
    <x v="0"/>
    <n v="0.05"/>
    <x v="4"/>
    <n v="9505.5670000000009"/>
    <x v="3"/>
    <s v="SAVE10"/>
    <n v="1"/>
    <s v="REG101133"/>
    <x v="1059"/>
    <n v="25.31"/>
    <x v="476"/>
    <d v="2023-09-13T00:00:00"/>
    <x v="3"/>
    <n v="10005.86"/>
    <n v="500.29300000000006"/>
    <n v="9505.5670000000009"/>
    <n v="7"/>
    <x v="831"/>
    <n v="0"/>
  </r>
  <r>
    <d v="2023-09-29T00:00:00"/>
    <x v="0"/>
    <x v="0"/>
    <x v="10"/>
    <n v="203.15"/>
    <s v="Store C"/>
    <x v="1"/>
    <n v="0.1"/>
    <x v="0"/>
    <n v="2011.1849999999999"/>
    <x v="0"/>
    <s v="FREESHIP"/>
    <n v="0"/>
    <s v="REG101134"/>
    <x v="1060"/>
    <n v="30.97"/>
    <x v="100"/>
    <d v="2023-10-02T00:00:00"/>
    <x v="0"/>
    <n v="2234.65"/>
    <n v="223.46500000000003"/>
    <n v="2011.1849999999999"/>
    <n v="3"/>
    <x v="832"/>
    <n v="0"/>
  </r>
  <r>
    <d v="2024-05-21T00:00:00"/>
    <x v="3"/>
    <x v="4"/>
    <x v="2"/>
    <n v="139.13999999999999"/>
    <s v="Store A"/>
    <x v="0"/>
    <n v="0"/>
    <x v="3"/>
    <n v="2504.52"/>
    <x v="0"/>
    <s v="FREESHIP"/>
    <n v="1"/>
    <s v="REG101135"/>
    <x v="1061"/>
    <n v="10.56"/>
    <x v="660"/>
    <d v="2024-05-23T00:00:00"/>
    <x v="3"/>
    <n v="2504.5199999999995"/>
    <n v="0"/>
    <n v="2504.5199999999995"/>
    <n v="2"/>
    <x v="0"/>
    <n v="0"/>
  </r>
  <r>
    <d v="2025-04-13T00:00:00"/>
    <x v="4"/>
    <x v="4"/>
    <x v="3"/>
    <n v="158.99"/>
    <s v="Store A"/>
    <x v="0"/>
    <n v="0"/>
    <x v="5"/>
    <n v="317.98"/>
    <x v="0"/>
    <m/>
    <n v="0"/>
    <s v="REG101136"/>
    <x v="1062"/>
    <n v="48.32"/>
    <x v="91"/>
    <d v="2025-04-19T00:00:00"/>
    <x v="4"/>
    <n v="317.98"/>
    <n v="0"/>
    <n v="317.98"/>
    <n v="6"/>
    <x v="0"/>
    <n v="0"/>
  </r>
  <r>
    <d v="2024-11-16T00:00:00"/>
    <x v="0"/>
    <x v="3"/>
    <x v="5"/>
    <n v="387.63"/>
    <s v="Store A"/>
    <x v="0"/>
    <n v="0"/>
    <x v="4"/>
    <n v="1162.8900000000001"/>
    <x v="2"/>
    <s v="WINTER15"/>
    <n v="0"/>
    <s v="REG101137"/>
    <x v="1063"/>
    <n v="30.08"/>
    <x v="85"/>
    <d v="2024-11-20T00:00:00"/>
    <x v="0"/>
    <n v="1162.8899999999999"/>
    <n v="0"/>
    <n v="1162.8899999999999"/>
    <n v="4"/>
    <x v="0"/>
    <n v="0"/>
  </r>
  <r>
    <d v="2024-07-20T00:00:00"/>
    <x v="2"/>
    <x v="2"/>
    <x v="6"/>
    <n v="202.12"/>
    <s v="Store A"/>
    <x v="1"/>
    <n v="0.1"/>
    <x v="4"/>
    <n v="909.54000000000008"/>
    <x v="0"/>
    <s v="FREESHIP"/>
    <n v="1"/>
    <s v="REG101138"/>
    <x v="1042"/>
    <n v="45.61"/>
    <x v="555"/>
    <d v="2024-07-28T00:00:00"/>
    <x v="2"/>
    <n v="1010.6"/>
    <n v="101.06"/>
    <n v="909.54"/>
    <n v="8"/>
    <x v="833"/>
    <n v="0"/>
  </r>
  <r>
    <d v="2023-05-20T00:00:00"/>
    <x v="2"/>
    <x v="2"/>
    <x v="15"/>
    <n v="334.57"/>
    <s v="Store C"/>
    <x v="1"/>
    <n v="0.15"/>
    <x v="3"/>
    <n v="1137.538"/>
    <x v="1"/>
    <m/>
    <n v="0"/>
    <s v="REG101139"/>
    <x v="1064"/>
    <n v="11.49"/>
    <x v="42"/>
    <d v="2023-05-27T00:00:00"/>
    <x v="2"/>
    <n v="1338.28"/>
    <n v="200.74199999999999"/>
    <n v="1137.538"/>
    <n v="7"/>
    <x v="834"/>
    <n v="0"/>
  </r>
  <r>
    <d v="2023-10-22T00:00:00"/>
    <x v="4"/>
    <x v="1"/>
    <x v="18"/>
    <n v="486.71"/>
    <s v="Store B"/>
    <x v="0"/>
    <n v="0.15"/>
    <x v="3"/>
    <n v="6619.2559999999994"/>
    <x v="0"/>
    <s v="FREESHIP"/>
    <n v="1"/>
    <s v="REG101140"/>
    <x v="1065"/>
    <n v="12.53"/>
    <x v="661"/>
    <d v="2023-10-26T00:00:00"/>
    <x v="4"/>
    <n v="7787.36"/>
    <n v="1168.1039999999998"/>
    <n v="6619.2559999999994"/>
    <n v="4"/>
    <x v="835"/>
    <n v="0"/>
  </r>
  <r>
    <d v="2025-05-18T00:00:00"/>
    <x v="2"/>
    <x v="4"/>
    <x v="3"/>
    <n v="188.29"/>
    <s v="Store D"/>
    <x v="0"/>
    <n v="0.15"/>
    <x v="5"/>
    <n v="320.09300000000002"/>
    <x v="2"/>
    <s v="SAVE10"/>
    <n v="0"/>
    <s v="REG101141"/>
    <x v="1066"/>
    <n v="32.22"/>
    <x v="662"/>
    <d v="2025-05-21T00:00:00"/>
    <x v="2"/>
    <n v="376.58"/>
    <n v="56.486999999999995"/>
    <n v="320.09299999999996"/>
    <n v="3"/>
    <x v="836"/>
    <n v="0"/>
  </r>
  <r>
    <d v="2024-03-03T00:00:00"/>
    <x v="1"/>
    <x v="0"/>
    <x v="5"/>
    <n v="260.72000000000003"/>
    <s v="Store B"/>
    <x v="0"/>
    <n v="0.15"/>
    <x v="2"/>
    <n v="664.83600000000001"/>
    <x v="0"/>
    <s v="WINTER15"/>
    <n v="0"/>
    <s v="REG101142"/>
    <x v="1067"/>
    <n v="19.41"/>
    <x v="69"/>
    <d v="2024-03-06T00:00:00"/>
    <x v="1"/>
    <n v="782.16000000000008"/>
    <n v="117.32400000000001"/>
    <n v="664.83600000000001"/>
    <n v="3"/>
    <x v="837"/>
    <n v="0"/>
  </r>
  <r>
    <d v="2023-07-23T00:00:00"/>
    <x v="0"/>
    <x v="2"/>
    <x v="16"/>
    <n v="358.27"/>
    <s v="Store B"/>
    <x v="1"/>
    <n v="0.1"/>
    <x v="2"/>
    <n v="1934.6579999999999"/>
    <x v="1"/>
    <m/>
    <n v="0"/>
    <s v="REG101143"/>
    <x v="1005"/>
    <n v="7.34"/>
    <x v="41"/>
    <d v="2023-08-02T00:00:00"/>
    <x v="0"/>
    <n v="2149.62"/>
    <n v="214.96199999999999"/>
    <n v="1934.6579999999999"/>
    <n v="10"/>
    <x v="838"/>
    <n v="0"/>
  </r>
  <r>
    <d v="2025-02-09T00:00:00"/>
    <x v="2"/>
    <x v="2"/>
    <x v="14"/>
    <n v="492.66"/>
    <s v="Store B"/>
    <x v="1"/>
    <n v="0.1"/>
    <x v="2"/>
    <n v="5764.1220000000003"/>
    <x v="1"/>
    <s v="FREESHIP"/>
    <n v="0"/>
    <s v="REG101144"/>
    <x v="1068"/>
    <n v="46.21"/>
    <x v="663"/>
    <d v="2025-02-14T00:00:00"/>
    <x v="2"/>
    <n v="6404.58"/>
    <n v="640.45800000000008"/>
    <n v="5764.1219999999994"/>
    <n v="5"/>
    <x v="839"/>
    <n v="0"/>
  </r>
  <r>
    <d v="2023-01-17T00:00:00"/>
    <x v="1"/>
    <x v="3"/>
    <x v="5"/>
    <n v="348.38"/>
    <s v="Store B"/>
    <x v="0"/>
    <n v="0"/>
    <x v="3"/>
    <n v="1045.1400000000001"/>
    <x v="1"/>
    <s v="FREESHIP"/>
    <n v="0"/>
    <s v="REG101145"/>
    <x v="1069"/>
    <n v="26.25"/>
    <x v="585"/>
    <d v="2023-01-23T00:00:00"/>
    <x v="1"/>
    <n v="1045.1399999999999"/>
    <n v="0"/>
    <n v="1045.1399999999999"/>
    <n v="6"/>
    <x v="0"/>
    <n v="0"/>
  </r>
  <r>
    <d v="2023-09-17T00:00:00"/>
    <x v="2"/>
    <x v="1"/>
    <x v="16"/>
    <n v="437.59"/>
    <s v="Store D"/>
    <x v="0"/>
    <n v="0.05"/>
    <x v="4"/>
    <n v="2494.2629999999999"/>
    <x v="1"/>
    <s v="WINTER15"/>
    <n v="1"/>
    <s v="REG101146"/>
    <x v="1070"/>
    <n v="39.4"/>
    <x v="121"/>
    <d v="2023-09-26T00:00:00"/>
    <x v="2"/>
    <n v="2625.54"/>
    <n v="131.27700000000002"/>
    <n v="2494.2629999999999"/>
    <n v="9"/>
    <x v="840"/>
    <n v="0"/>
  </r>
  <r>
    <d v="2025-02-15T00:00:00"/>
    <x v="2"/>
    <x v="6"/>
    <x v="8"/>
    <n v="118.09"/>
    <s v="Store D"/>
    <x v="0"/>
    <n v="0.1"/>
    <x v="1"/>
    <n v="2019.3389999999999"/>
    <x v="0"/>
    <s v="SAVE10"/>
    <n v="0"/>
    <s v="REG101147"/>
    <x v="1071"/>
    <n v="10.77"/>
    <x v="664"/>
    <d v="2025-02-23T00:00:00"/>
    <x v="2"/>
    <n v="2243.71"/>
    <n v="224.37100000000001"/>
    <n v="2019.3389999999999"/>
    <n v="8"/>
    <x v="841"/>
    <n v="0"/>
  </r>
  <r>
    <d v="2023-10-07T00:00:00"/>
    <x v="4"/>
    <x v="5"/>
    <x v="7"/>
    <n v="188.57"/>
    <s v="Store C"/>
    <x v="0"/>
    <n v="0.05"/>
    <x v="5"/>
    <n v="2687.122499999999"/>
    <x v="2"/>
    <s v="FREESHIP"/>
    <n v="1"/>
    <s v="REG101148"/>
    <x v="1072"/>
    <n v="38.61"/>
    <x v="444"/>
    <d v="2023-10-09T00:00:00"/>
    <x v="4"/>
    <n v="2828.5499999999997"/>
    <n v="141.42749999999998"/>
    <n v="2687.1224999999999"/>
    <n v="2"/>
    <x v="842"/>
    <n v="0"/>
  </r>
  <r>
    <d v="2023-08-08T00:00:00"/>
    <x v="4"/>
    <x v="1"/>
    <x v="19"/>
    <n v="200.74"/>
    <s v="Store A"/>
    <x v="0"/>
    <n v="0"/>
    <x v="4"/>
    <n v="1605.92"/>
    <x v="1"/>
    <s v="SAVE10"/>
    <n v="1"/>
    <s v="REG101149"/>
    <x v="1073"/>
    <n v="30.7"/>
    <x v="665"/>
    <d v="2023-08-10T00:00:00"/>
    <x v="4"/>
    <n v="1605.92"/>
    <n v="0"/>
    <n v="1605.92"/>
    <n v="2"/>
    <x v="0"/>
    <n v="0"/>
  </r>
  <r>
    <d v="2023-08-21T00:00:00"/>
    <x v="0"/>
    <x v="0"/>
    <x v="5"/>
    <n v="142.09"/>
    <s v="Store C"/>
    <x v="0"/>
    <n v="0.15"/>
    <x v="2"/>
    <n v="362.3295"/>
    <x v="1"/>
    <s v="WINTER15"/>
    <n v="0"/>
    <s v="REG101150"/>
    <x v="368"/>
    <n v="26.04"/>
    <x v="666"/>
    <d v="2023-08-27T00:00:00"/>
    <x v="0"/>
    <n v="426.27"/>
    <n v="63.940499999999993"/>
    <n v="362.3295"/>
    <n v="6"/>
    <x v="843"/>
    <n v="0"/>
  </r>
  <r>
    <d v="2024-07-07T00:00:00"/>
    <x v="2"/>
    <x v="5"/>
    <x v="7"/>
    <n v="576.12"/>
    <s v="Store D"/>
    <x v="1"/>
    <n v="0.1"/>
    <x v="1"/>
    <n v="7777.62"/>
    <x v="0"/>
    <s v="WINTER15"/>
    <n v="0"/>
    <s v="REG101151"/>
    <x v="1074"/>
    <n v="29.31"/>
    <x v="99"/>
    <d v="2024-07-11T00:00:00"/>
    <x v="2"/>
    <n v="8641.7999999999993"/>
    <n v="864.18"/>
    <n v="7777.619999999999"/>
    <n v="4"/>
    <x v="844"/>
    <n v="0"/>
  </r>
  <r>
    <d v="2025-01-17T00:00:00"/>
    <x v="1"/>
    <x v="2"/>
    <x v="17"/>
    <n v="96.97"/>
    <s v="Store D"/>
    <x v="1"/>
    <n v="0.15"/>
    <x v="5"/>
    <n v="741.82050000000004"/>
    <x v="2"/>
    <s v="WINTER15"/>
    <n v="1"/>
    <s v="REG101152"/>
    <x v="1075"/>
    <n v="30.87"/>
    <x v="50"/>
    <d v="2025-01-24T00:00:00"/>
    <x v="1"/>
    <n v="872.73"/>
    <n v="130.90950000000001"/>
    <n v="741.82050000000004"/>
    <n v="7"/>
    <x v="845"/>
    <n v="0"/>
  </r>
  <r>
    <d v="2023-12-06T00:00:00"/>
    <x v="2"/>
    <x v="5"/>
    <x v="9"/>
    <n v="218.04"/>
    <s v="Store D"/>
    <x v="0"/>
    <n v="0.15"/>
    <x v="5"/>
    <n v="3150.6779999999999"/>
    <x v="4"/>
    <m/>
    <n v="0"/>
    <s v="REG101153"/>
    <x v="1076"/>
    <n v="16"/>
    <x v="667"/>
    <d v="2023-12-16T00:00:00"/>
    <x v="2"/>
    <n v="3706.68"/>
    <n v="556.00199999999995"/>
    <n v="3150.6779999999999"/>
    <n v="10"/>
    <x v="846"/>
    <n v="0"/>
  </r>
  <r>
    <d v="2023-03-01T00:00:00"/>
    <x v="1"/>
    <x v="2"/>
    <x v="3"/>
    <n v="153.33000000000001"/>
    <s v="Store C"/>
    <x v="0"/>
    <n v="0.05"/>
    <x v="3"/>
    <n v="291.327"/>
    <x v="4"/>
    <m/>
    <n v="0"/>
    <s v="REG101154"/>
    <x v="1077"/>
    <n v="31.55"/>
    <x v="565"/>
    <d v="2023-03-04T00:00:00"/>
    <x v="1"/>
    <n v="306.66000000000003"/>
    <n v="15.333000000000002"/>
    <n v="291.327"/>
    <n v="3"/>
    <x v="847"/>
    <n v="0"/>
  </r>
  <r>
    <d v="2025-02-11T00:00:00"/>
    <x v="2"/>
    <x v="6"/>
    <x v="19"/>
    <n v="316.12"/>
    <s v="Store B"/>
    <x v="0"/>
    <n v="0.1"/>
    <x v="4"/>
    <n v="2276.0639999999999"/>
    <x v="1"/>
    <s v="WINTER15"/>
    <n v="0"/>
    <s v="REG101155"/>
    <x v="1078"/>
    <n v="6.28"/>
    <x v="668"/>
    <d v="2025-02-15T00:00:00"/>
    <x v="2"/>
    <n v="2528.96"/>
    <n v="252.89600000000002"/>
    <n v="2276.0639999999999"/>
    <n v="4"/>
    <x v="848"/>
    <n v="0"/>
  </r>
  <r>
    <d v="2023-06-20T00:00:00"/>
    <x v="3"/>
    <x v="6"/>
    <x v="14"/>
    <n v="153.57"/>
    <s v="Store B"/>
    <x v="0"/>
    <n v="0.05"/>
    <x v="3"/>
    <n v="1896.5895"/>
    <x v="1"/>
    <m/>
    <n v="0"/>
    <s v="REG101156"/>
    <x v="1079"/>
    <n v="27.98"/>
    <x v="300"/>
    <d v="2023-06-25T00:00:00"/>
    <x v="3"/>
    <n v="1996.4099999999999"/>
    <n v="99.820499999999996"/>
    <n v="1896.5894999999998"/>
    <n v="5"/>
    <x v="849"/>
    <n v="0"/>
  </r>
  <r>
    <d v="2024-02-29T00:00:00"/>
    <x v="4"/>
    <x v="6"/>
    <x v="4"/>
    <n v="208.31"/>
    <s v="Store C"/>
    <x v="0"/>
    <n v="0.05"/>
    <x v="2"/>
    <n v="1385.2615000000001"/>
    <x v="0"/>
    <s v="SAVE10"/>
    <n v="0"/>
    <s v="REG101157"/>
    <x v="1080"/>
    <n v="26.57"/>
    <x v="459"/>
    <d v="2024-03-03T00:00:00"/>
    <x v="4"/>
    <n v="1458.17"/>
    <n v="72.908500000000004"/>
    <n v="1385.2615000000001"/>
    <n v="3"/>
    <x v="850"/>
    <n v="0"/>
  </r>
  <r>
    <d v="2025-06-30T00:00:00"/>
    <x v="2"/>
    <x v="3"/>
    <x v="3"/>
    <n v="160.96"/>
    <s v="Store C"/>
    <x v="0"/>
    <n v="0.1"/>
    <x v="0"/>
    <n v="289.72800000000001"/>
    <x v="1"/>
    <s v="WINTER15"/>
    <n v="0"/>
    <s v="REG101158"/>
    <x v="1081"/>
    <n v="44.97"/>
    <x v="148"/>
    <d v="2025-07-05T00:00:00"/>
    <x v="2"/>
    <n v="321.92"/>
    <n v="32.192"/>
    <n v="289.72800000000001"/>
    <n v="5"/>
    <x v="851"/>
    <n v="0"/>
  </r>
  <r>
    <d v="2024-08-19T00:00:00"/>
    <x v="2"/>
    <x v="4"/>
    <x v="5"/>
    <n v="373.77"/>
    <s v="Store B"/>
    <x v="1"/>
    <n v="0.1"/>
    <x v="0"/>
    <n v="1009.179"/>
    <x v="4"/>
    <s v="WINTER15"/>
    <n v="1"/>
    <s v="REG101159"/>
    <x v="1082"/>
    <n v="17.62"/>
    <x v="363"/>
    <d v="2024-08-25T00:00:00"/>
    <x v="2"/>
    <n v="1121.31"/>
    <n v="112.131"/>
    <n v="1009.179"/>
    <n v="6"/>
    <x v="852"/>
    <n v="0"/>
  </r>
  <r>
    <d v="2024-01-15T00:00:00"/>
    <x v="3"/>
    <x v="6"/>
    <x v="11"/>
    <n v="200.7"/>
    <s v="Store D"/>
    <x v="1"/>
    <n v="0.1"/>
    <x v="1"/>
    <n v="3612.6"/>
    <x v="0"/>
    <s v="FREESHIP"/>
    <n v="0"/>
    <s v="REG101160"/>
    <x v="1083"/>
    <n v="29.6"/>
    <x v="481"/>
    <d v="2024-01-19T00:00:00"/>
    <x v="3"/>
    <n v="4014"/>
    <n v="401.40000000000003"/>
    <n v="3612.6"/>
    <n v="4"/>
    <x v="853"/>
    <n v="0"/>
  </r>
  <r>
    <d v="2024-08-08T00:00:00"/>
    <x v="3"/>
    <x v="2"/>
    <x v="0"/>
    <n v="115.77"/>
    <s v="Store B"/>
    <x v="0"/>
    <n v="0.15"/>
    <x v="2"/>
    <n v="1377.663"/>
    <x v="2"/>
    <s v="SAVE10"/>
    <n v="1"/>
    <s v="REG101161"/>
    <x v="1084"/>
    <n v="20.12"/>
    <x v="669"/>
    <d v="2024-08-11T00:00:00"/>
    <x v="3"/>
    <n v="1620.78"/>
    <n v="243.11699999999999"/>
    <n v="1377.663"/>
    <n v="3"/>
    <x v="854"/>
    <n v="0"/>
  </r>
  <r>
    <d v="2024-10-05T00:00:00"/>
    <x v="4"/>
    <x v="1"/>
    <x v="13"/>
    <n v="535.41"/>
    <s v="Store C"/>
    <x v="1"/>
    <n v="0.1"/>
    <x v="2"/>
    <n v="5782.4279999999999"/>
    <x v="1"/>
    <m/>
    <n v="0"/>
    <s v="REG101162"/>
    <x v="1085"/>
    <n v="27.82"/>
    <x v="198"/>
    <d v="2024-10-07T00:00:00"/>
    <x v="4"/>
    <n v="6424.92"/>
    <n v="642.49200000000008"/>
    <n v="5782.4279999999999"/>
    <n v="2"/>
    <x v="855"/>
    <n v="0"/>
  </r>
  <r>
    <d v="2024-01-13T00:00:00"/>
    <x v="1"/>
    <x v="2"/>
    <x v="13"/>
    <n v="103.59"/>
    <s v="Store A"/>
    <x v="1"/>
    <n v="0.1"/>
    <x v="2"/>
    <n v="1118.7719999999999"/>
    <x v="3"/>
    <s v="FREESHIP"/>
    <n v="0"/>
    <s v="REG101163"/>
    <x v="1086"/>
    <n v="48.11"/>
    <x v="576"/>
    <d v="2024-01-21T00:00:00"/>
    <x v="1"/>
    <n v="1243.08"/>
    <n v="124.30799999999999"/>
    <n v="1118.7719999999999"/>
    <n v="8"/>
    <x v="856"/>
    <n v="0"/>
  </r>
  <r>
    <d v="2023-03-29T00:00:00"/>
    <x v="4"/>
    <x v="0"/>
    <x v="2"/>
    <n v="176.32"/>
    <s v="Store B"/>
    <x v="0"/>
    <n v="0.05"/>
    <x v="4"/>
    <n v="3015.0720000000001"/>
    <x v="3"/>
    <m/>
    <n v="0"/>
    <s v="REG101164"/>
    <x v="1087"/>
    <n v="36.35"/>
    <x v="88"/>
    <d v="2023-04-04T00:00:00"/>
    <x v="4"/>
    <n v="3173.7599999999998"/>
    <n v="158.68799999999999"/>
    <n v="3015.0719999999997"/>
    <n v="6"/>
    <x v="857"/>
    <n v="0"/>
  </r>
  <r>
    <d v="2023-10-19T00:00:00"/>
    <x v="2"/>
    <x v="6"/>
    <x v="6"/>
    <n v="112.44"/>
    <s v="Store D"/>
    <x v="1"/>
    <n v="0.1"/>
    <x v="5"/>
    <n v="505.98000000000008"/>
    <x v="2"/>
    <m/>
    <n v="1"/>
    <s v="REG101165"/>
    <x v="152"/>
    <n v="7.46"/>
    <x v="544"/>
    <d v="2023-10-23T00:00:00"/>
    <x v="2"/>
    <n v="562.20000000000005"/>
    <n v="56.220000000000006"/>
    <n v="505.98"/>
    <n v="4"/>
    <x v="858"/>
    <n v="0"/>
  </r>
  <r>
    <d v="2023-10-23T00:00:00"/>
    <x v="4"/>
    <x v="3"/>
    <x v="11"/>
    <n v="19.3"/>
    <s v="Store C"/>
    <x v="0"/>
    <n v="0"/>
    <x v="5"/>
    <n v="386"/>
    <x v="3"/>
    <s v="SAVE10"/>
    <n v="0"/>
    <s v="REG101166"/>
    <x v="1088"/>
    <n v="47.23"/>
    <x v="25"/>
    <d v="2023-11-01T00:00:00"/>
    <x v="4"/>
    <n v="386"/>
    <n v="0"/>
    <n v="386"/>
    <n v="9"/>
    <x v="0"/>
    <n v="0"/>
  </r>
  <r>
    <d v="2023-03-24T00:00:00"/>
    <x v="1"/>
    <x v="1"/>
    <x v="17"/>
    <n v="233.11"/>
    <s v="Store B"/>
    <x v="1"/>
    <n v="0.05"/>
    <x v="0"/>
    <n v="1993.0905"/>
    <x v="3"/>
    <s v="WINTER15"/>
    <n v="0"/>
    <s v="REG101167"/>
    <x v="1089"/>
    <n v="31.43"/>
    <x v="601"/>
    <d v="2023-03-28T00:00:00"/>
    <x v="1"/>
    <n v="2097.9900000000002"/>
    <n v="104.89950000000002"/>
    <n v="1993.0905000000002"/>
    <n v="4"/>
    <x v="859"/>
    <n v="0"/>
  </r>
  <r>
    <d v="2024-08-09T00:00:00"/>
    <x v="4"/>
    <x v="6"/>
    <x v="9"/>
    <n v="66.48"/>
    <s v="Store C"/>
    <x v="0"/>
    <n v="0.15"/>
    <x v="0"/>
    <n v="960.63600000000008"/>
    <x v="1"/>
    <s v="WINTER15"/>
    <n v="1"/>
    <s v="REG101168"/>
    <x v="1090"/>
    <n v="10.79"/>
    <x v="649"/>
    <d v="2024-08-14T00:00:00"/>
    <x v="4"/>
    <n v="1130.1600000000001"/>
    <n v="169.524"/>
    <n v="960.63600000000008"/>
    <n v="5"/>
    <x v="860"/>
    <n v="0"/>
  </r>
  <r>
    <d v="2023-04-26T00:00:00"/>
    <x v="1"/>
    <x v="0"/>
    <x v="9"/>
    <n v="504.63"/>
    <s v="Store A"/>
    <x v="0"/>
    <n v="0.1"/>
    <x v="3"/>
    <n v="7720.838999999999"/>
    <x v="0"/>
    <s v="WINTER15"/>
    <n v="1"/>
    <s v="REG101169"/>
    <x v="1091"/>
    <n v="48.33"/>
    <x v="394"/>
    <d v="2023-05-06T00:00:00"/>
    <x v="1"/>
    <n v="8578.7099999999991"/>
    <n v="857.87099999999998"/>
    <n v="7720.838999999999"/>
    <n v="10"/>
    <x v="861"/>
    <n v="0"/>
  </r>
  <r>
    <d v="2024-03-04T00:00:00"/>
    <x v="4"/>
    <x v="5"/>
    <x v="10"/>
    <n v="97.84"/>
    <s v="Store B"/>
    <x v="1"/>
    <n v="0.05"/>
    <x v="1"/>
    <n v="1022.428"/>
    <x v="3"/>
    <s v="SAVE10"/>
    <n v="1"/>
    <s v="REG101170"/>
    <x v="1092"/>
    <n v="45.97"/>
    <x v="615"/>
    <d v="2024-03-12T00:00:00"/>
    <x v="4"/>
    <n v="1076.24"/>
    <n v="53.812000000000005"/>
    <n v="1022.428"/>
    <n v="8"/>
    <x v="862"/>
    <n v="0"/>
  </r>
  <r>
    <d v="2023-02-14T00:00:00"/>
    <x v="0"/>
    <x v="5"/>
    <x v="4"/>
    <n v="468.14"/>
    <s v="Store A"/>
    <x v="1"/>
    <n v="0.15"/>
    <x v="5"/>
    <n v="2785.433"/>
    <x v="4"/>
    <s v="SAVE10"/>
    <n v="0"/>
    <s v="REG101171"/>
    <x v="1093"/>
    <n v="47.56"/>
    <x v="169"/>
    <d v="2023-02-17T00:00:00"/>
    <x v="0"/>
    <n v="3276.98"/>
    <n v="491.54699999999997"/>
    <n v="2785.433"/>
    <n v="3"/>
    <x v="863"/>
    <n v="0"/>
  </r>
  <r>
    <d v="2023-04-28T00:00:00"/>
    <x v="4"/>
    <x v="5"/>
    <x v="11"/>
    <n v="476.69"/>
    <s v="Store B"/>
    <x v="0"/>
    <n v="0.05"/>
    <x v="5"/>
    <n v="9057.1099999999988"/>
    <x v="0"/>
    <s v="WINTER15"/>
    <n v="0"/>
    <s v="REG101172"/>
    <x v="1094"/>
    <n v="10.199999999999999"/>
    <x v="266"/>
    <d v="2023-05-03T00:00:00"/>
    <x v="4"/>
    <n v="9533.7999999999993"/>
    <n v="476.69"/>
    <n v="9057.1099999999988"/>
    <n v="5"/>
    <x v="864"/>
    <n v="0"/>
  </r>
  <r>
    <d v="2024-03-03T00:00:00"/>
    <x v="2"/>
    <x v="1"/>
    <x v="3"/>
    <n v="160.72999999999999"/>
    <s v="Store A"/>
    <x v="0"/>
    <n v="0.15"/>
    <x v="2"/>
    <n v="273.24099999999999"/>
    <x v="4"/>
    <s v="FREESHIP"/>
    <n v="0"/>
    <s v="REG101173"/>
    <x v="1095"/>
    <n v="20.18"/>
    <x v="69"/>
    <d v="2024-03-11T00:00:00"/>
    <x v="2"/>
    <n v="321.45999999999998"/>
    <n v="48.218999999999994"/>
    <n v="273.24099999999999"/>
    <n v="8"/>
    <x v="865"/>
    <n v="0"/>
  </r>
  <r>
    <d v="2024-09-04T00:00:00"/>
    <x v="4"/>
    <x v="5"/>
    <x v="17"/>
    <n v="228.98"/>
    <s v="Store D"/>
    <x v="1"/>
    <n v="0.15"/>
    <x v="2"/>
    <n v="1751.6969999999999"/>
    <x v="0"/>
    <s v="WINTER15"/>
    <n v="0"/>
    <s v="REG101174"/>
    <x v="1096"/>
    <n v="45.79"/>
    <x v="670"/>
    <d v="2024-09-08T00:00:00"/>
    <x v="4"/>
    <n v="2060.8199999999997"/>
    <n v="309.12299999999993"/>
    <n v="1751.6969999999997"/>
    <n v="4"/>
    <x v="866"/>
    <n v="0"/>
  </r>
  <r>
    <d v="2024-12-30T00:00:00"/>
    <x v="0"/>
    <x v="5"/>
    <x v="8"/>
    <n v="336.5"/>
    <s v="Store B"/>
    <x v="0"/>
    <n v="0"/>
    <x v="1"/>
    <n v="6393.5"/>
    <x v="0"/>
    <s v="WINTER15"/>
    <n v="0"/>
    <s v="REG101175"/>
    <x v="1097"/>
    <n v="27.43"/>
    <x v="671"/>
    <d v="2025-01-07T00:00:00"/>
    <x v="0"/>
    <n v="6393.5"/>
    <n v="0"/>
    <n v="6393.5"/>
    <n v="8"/>
    <x v="0"/>
    <n v="0"/>
  </r>
  <r>
    <d v="2024-02-10T00:00:00"/>
    <x v="0"/>
    <x v="6"/>
    <x v="2"/>
    <n v="411.59"/>
    <s v="Store A"/>
    <x v="0"/>
    <n v="0"/>
    <x v="5"/>
    <n v="7408.62"/>
    <x v="2"/>
    <s v="WINTER15"/>
    <n v="0"/>
    <s v="REG101176"/>
    <x v="1098"/>
    <n v="9.6199999999999992"/>
    <x v="672"/>
    <d v="2024-02-16T00:00:00"/>
    <x v="0"/>
    <n v="7408.62"/>
    <n v="0"/>
    <n v="7408.62"/>
    <n v="6"/>
    <x v="0"/>
    <n v="0"/>
  </r>
  <r>
    <d v="2023-09-07T00:00:00"/>
    <x v="3"/>
    <x v="6"/>
    <x v="1"/>
    <n v="431.49"/>
    <s v="Store C"/>
    <x v="0"/>
    <n v="0.15"/>
    <x v="1"/>
    <n v="366.76650000000001"/>
    <x v="4"/>
    <s v="SAVE10"/>
    <n v="0"/>
    <s v="REG101177"/>
    <x v="1099"/>
    <n v="17.53"/>
    <x v="288"/>
    <d v="2023-09-15T00:00:00"/>
    <x v="3"/>
    <n v="431.49"/>
    <n v="64.723500000000001"/>
    <n v="366.76650000000001"/>
    <n v="8"/>
    <x v="867"/>
    <n v="0"/>
  </r>
  <r>
    <d v="2023-08-11T00:00:00"/>
    <x v="0"/>
    <x v="0"/>
    <x v="2"/>
    <n v="495.39"/>
    <s v="Store A"/>
    <x v="0"/>
    <n v="0"/>
    <x v="3"/>
    <n v="8917.02"/>
    <x v="1"/>
    <s v="SAVE10"/>
    <n v="0"/>
    <s v="REG101178"/>
    <x v="1100"/>
    <n v="14.88"/>
    <x v="673"/>
    <d v="2023-08-15T00:00:00"/>
    <x v="0"/>
    <n v="8917.02"/>
    <n v="0"/>
    <n v="8917.02"/>
    <n v="4"/>
    <x v="0"/>
    <n v="0"/>
  </r>
  <r>
    <d v="2023-03-12T00:00:00"/>
    <x v="4"/>
    <x v="1"/>
    <x v="15"/>
    <n v="149.30000000000001"/>
    <s v="Store A"/>
    <x v="0"/>
    <n v="0.1"/>
    <x v="4"/>
    <n v="537.48"/>
    <x v="3"/>
    <s v="FREESHIP"/>
    <n v="0"/>
    <s v="REG101179"/>
    <x v="1101"/>
    <n v="47.84"/>
    <x v="504"/>
    <d v="2023-03-16T00:00:00"/>
    <x v="4"/>
    <n v="597.20000000000005"/>
    <n v="59.720000000000006"/>
    <n v="537.48"/>
    <n v="4"/>
    <x v="868"/>
    <n v="0"/>
  </r>
  <r>
    <d v="2023-03-29T00:00:00"/>
    <x v="3"/>
    <x v="2"/>
    <x v="2"/>
    <n v="179.97"/>
    <s v="Store C"/>
    <x v="0"/>
    <n v="0.1"/>
    <x v="0"/>
    <n v="2915.5140000000001"/>
    <x v="4"/>
    <s v="SAVE10"/>
    <n v="0"/>
    <s v="REG101180"/>
    <x v="1102"/>
    <n v="22.15"/>
    <x v="88"/>
    <d v="2023-03-31T00:00:00"/>
    <x v="3"/>
    <n v="3239.46"/>
    <n v="323.94600000000003"/>
    <n v="2915.5140000000001"/>
    <n v="2"/>
    <x v="869"/>
    <n v="0"/>
  </r>
  <r>
    <d v="2025-02-17T00:00:00"/>
    <x v="1"/>
    <x v="3"/>
    <x v="10"/>
    <n v="381.14"/>
    <s v="Store B"/>
    <x v="1"/>
    <n v="0.05"/>
    <x v="2"/>
    <n v="3982.913"/>
    <x v="1"/>
    <s v="FREESHIP"/>
    <n v="0"/>
    <s v="REG101181"/>
    <x v="1103"/>
    <n v="32.83"/>
    <x v="130"/>
    <d v="2025-02-27T00:00:00"/>
    <x v="1"/>
    <n v="4192.54"/>
    <n v="209.62700000000001"/>
    <n v="3982.913"/>
    <n v="10"/>
    <x v="870"/>
    <n v="0"/>
  </r>
  <r>
    <d v="2024-01-07T00:00:00"/>
    <x v="2"/>
    <x v="3"/>
    <x v="6"/>
    <n v="454.62"/>
    <s v="Store C"/>
    <x v="0"/>
    <n v="0.05"/>
    <x v="4"/>
    <n v="2159.4450000000002"/>
    <x v="1"/>
    <m/>
    <n v="0"/>
    <s v="REG101182"/>
    <x v="1104"/>
    <n v="10.19"/>
    <x v="674"/>
    <d v="2024-01-15T00:00:00"/>
    <x v="2"/>
    <n v="2273.1"/>
    <n v="113.655"/>
    <n v="2159.4449999999997"/>
    <n v="8"/>
    <x v="871"/>
    <n v="0"/>
  </r>
  <r>
    <d v="2023-01-14T00:00:00"/>
    <x v="0"/>
    <x v="1"/>
    <x v="9"/>
    <n v="226.56"/>
    <s v="Store A"/>
    <x v="0"/>
    <n v="0.1"/>
    <x v="4"/>
    <n v="3466.3679999999999"/>
    <x v="1"/>
    <s v="WINTER15"/>
    <n v="1"/>
    <s v="REG101183"/>
    <x v="1105"/>
    <n v="36.89"/>
    <x v="675"/>
    <d v="2023-01-20T00:00:00"/>
    <x v="0"/>
    <n v="3851.52"/>
    <n v="385.15200000000004"/>
    <n v="3466.3679999999999"/>
    <n v="6"/>
    <x v="872"/>
    <n v="0"/>
  </r>
  <r>
    <d v="2024-01-03T00:00:00"/>
    <x v="4"/>
    <x v="0"/>
    <x v="3"/>
    <n v="132.91"/>
    <s v="Store A"/>
    <x v="0"/>
    <n v="0"/>
    <x v="5"/>
    <n v="265.82"/>
    <x v="3"/>
    <s v="WINTER15"/>
    <n v="0"/>
    <s v="REG101184"/>
    <x v="1106"/>
    <n v="7.76"/>
    <x v="150"/>
    <d v="2024-01-12T00:00:00"/>
    <x v="4"/>
    <n v="265.82"/>
    <n v="0"/>
    <n v="265.82"/>
    <n v="9"/>
    <x v="0"/>
    <n v="0"/>
  </r>
  <r>
    <d v="2023-08-25T00:00:00"/>
    <x v="1"/>
    <x v="2"/>
    <x v="3"/>
    <n v="35.69"/>
    <s v="Store C"/>
    <x v="1"/>
    <n v="0"/>
    <x v="0"/>
    <n v="71.38"/>
    <x v="3"/>
    <s v="FREESHIP"/>
    <n v="0"/>
    <s v="REG101185"/>
    <x v="1107"/>
    <n v="39.89"/>
    <x v="294"/>
    <d v="2023-08-28T00:00:00"/>
    <x v="1"/>
    <n v="71.38"/>
    <n v="0"/>
    <n v="71.38"/>
    <n v="3"/>
    <x v="0"/>
    <n v="0"/>
  </r>
  <r>
    <d v="2025-05-16T00:00:00"/>
    <x v="2"/>
    <x v="2"/>
    <x v="16"/>
    <n v="451.93"/>
    <s v="Store A"/>
    <x v="0"/>
    <n v="0.15"/>
    <x v="0"/>
    <n v="2304.8429999999998"/>
    <x v="4"/>
    <s v="WINTER15"/>
    <n v="1"/>
    <s v="REG101186"/>
    <x v="1108"/>
    <n v="49.37"/>
    <x v="120"/>
    <d v="2025-05-25T00:00:00"/>
    <x v="2"/>
    <n v="2711.58"/>
    <n v="406.73699999999997"/>
    <n v="2304.8429999999998"/>
    <n v="9"/>
    <x v="873"/>
    <n v="0"/>
  </r>
  <r>
    <d v="2023-12-30T00:00:00"/>
    <x v="1"/>
    <x v="0"/>
    <x v="4"/>
    <n v="270.47000000000003"/>
    <s v="Store D"/>
    <x v="0"/>
    <n v="0.05"/>
    <x v="4"/>
    <n v="1798.6255000000001"/>
    <x v="2"/>
    <s v="WINTER15"/>
    <n v="1"/>
    <s v="REG101187"/>
    <x v="1109"/>
    <n v="41.56"/>
    <x v="479"/>
    <d v="2024-01-03T00:00:00"/>
    <x v="1"/>
    <n v="1893.2900000000002"/>
    <n v="94.664500000000018"/>
    <n v="1798.6255000000001"/>
    <n v="4"/>
    <x v="874"/>
    <n v="0"/>
  </r>
  <r>
    <d v="2024-10-06T00:00:00"/>
    <x v="1"/>
    <x v="1"/>
    <x v="14"/>
    <n v="55.46"/>
    <s v="Store A"/>
    <x v="1"/>
    <n v="0.05"/>
    <x v="5"/>
    <n v="684.93100000000004"/>
    <x v="2"/>
    <s v="FREESHIP"/>
    <n v="1"/>
    <s v="REG101188"/>
    <x v="1110"/>
    <n v="18.010000000000002"/>
    <x v="676"/>
    <d v="2024-10-09T00:00:00"/>
    <x v="1"/>
    <n v="720.98"/>
    <n v="36.048999999999999"/>
    <n v="684.93100000000004"/>
    <n v="3"/>
    <x v="875"/>
    <n v="0"/>
  </r>
  <r>
    <d v="2023-03-12T00:00:00"/>
    <x v="3"/>
    <x v="5"/>
    <x v="9"/>
    <n v="515.12"/>
    <s v="Store D"/>
    <x v="0"/>
    <n v="0.15"/>
    <x v="5"/>
    <n v="7443.4840000000004"/>
    <x v="2"/>
    <s v="SAVE10"/>
    <n v="1"/>
    <s v="REG101189"/>
    <x v="87"/>
    <n v="32.74"/>
    <x v="504"/>
    <d v="2023-03-22T00:00:00"/>
    <x v="3"/>
    <n v="8757.0400000000009"/>
    <n v="1313.556"/>
    <n v="7443.4840000000004"/>
    <n v="10"/>
    <x v="876"/>
    <n v="0"/>
  </r>
  <r>
    <d v="2024-04-06T00:00:00"/>
    <x v="2"/>
    <x v="1"/>
    <x v="1"/>
    <n v="256.63"/>
    <s v="Store D"/>
    <x v="0"/>
    <n v="0"/>
    <x v="3"/>
    <n v="256.63"/>
    <x v="1"/>
    <s v="FREESHIP"/>
    <n v="0"/>
    <s v="REG101190"/>
    <x v="1111"/>
    <n v="12.97"/>
    <x v="419"/>
    <d v="2024-04-08T00:00:00"/>
    <x v="2"/>
    <n v="256.63"/>
    <n v="0"/>
    <n v="256.63"/>
    <n v="2"/>
    <x v="0"/>
    <n v="0"/>
  </r>
  <r>
    <d v="2023-01-20T00:00:00"/>
    <x v="2"/>
    <x v="5"/>
    <x v="15"/>
    <n v="423.99"/>
    <s v="Store B"/>
    <x v="1"/>
    <n v="0.05"/>
    <x v="2"/>
    <n v="1611.162"/>
    <x v="0"/>
    <s v="FREESHIP"/>
    <n v="0"/>
    <s v="REG101191"/>
    <x v="1112"/>
    <n v="20.05"/>
    <x v="411"/>
    <d v="2023-01-25T00:00:00"/>
    <x v="2"/>
    <n v="1695.96"/>
    <n v="84.798000000000002"/>
    <n v="1611.162"/>
    <n v="5"/>
    <x v="877"/>
    <n v="0"/>
  </r>
  <r>
    <d v="2024-07-08T00:00:00"/>
    <x v="4"/>
    <x v="0"/>
    <x v="7"/>
    <n v="77.89"/>
    <s v="Store B"/>
    <x v="0"/>
    <n v="0.05"/>
    <x v="4"/>
    <n v="1109.9324999999999"/>
    <x v="2"/>
    <m/>
    <n v="0"/>
    <s v="REG101192"/>
    <x v="1113"/>
    <n v="20.87"/>
    <x v="172"/>
    <d v="2024-07-12T00:00:00"/>
    <x v="4"/>
    <n v="1168.3499999999999"/>
    <n v="58.417499999999997"/>
    <n v="1109.9324999999999"/>
    <n v="4"/>
    <x v="878"/>
    <n v="0"/>
  </r>
  <r>
    <d v="2023-10-06T00:00:00"/>
    <x v="2"/>
    <x v="1"/>
    <x v="13"/>
    <n v="11.95"/>
    <s v="Store A"/>
    <x v="1"/>
    <n v="0.05"/>
    <x v="3"/>
    <n v="136.22999999999999"/>
    <x v="0"/>
    <m/>
    <n v="0"/>
    <s v="REG101193"/>
    <x v="1114"/>
    <n v="26.66"/>
    <x v="677"/>
    <d v="2023-10-16T00:00:00"/>
    <x v="2"/>
    <n v="143.39999999999998"/>
    <n v="7.169999999999999"/>
    <n v="136.22999999999999"/>
    <n v="10"/>
    <x v="879"/>
    <n v="0"/>
  </r>
  <r>
    <d v="2023-09-11T00:00:00"/>
    <x v="0"/>
    <x v="2"/>
    <x v="4"/>
    <n v="67.05"/>
    <s v="Store D"/>
    <x v="0"/>
    <n v="0.1"/>
    <x v="3"/>
    <n v="422.41500000000002"/>
    <x v="4"/>
    <s v="FREESHIP"/>
    <n v="0"/>
    <s v="REG101194"/>
    <x v="107"/>
    <n v="36.67"/>
    <x v="471"/>
    <d v="2023-09-18T00:00:00"/>
    <x v="0"/>
    <n v="469.34999999999997"/>
    <n v="46.935000000000002"/>
    <n v="422.41499999999996"/>
    <n v="7"/>
    <x v="880"/>
    <n v="0"/>
  </r>
  <r>
    <d v="2023-09-14T00:00:00"/>
    <x v="2"/>
    <x v="1"/>
    <x v="8"/>
    <n v="118.15"/>
    <s v="Store C"/>
    <x v="1"/>
    <n v="0.15"/>
    <x v="2"/>
    <n v="1908.1224999999999"/>
    <x v="4"/>
    <s v="SAVE10"/>
    <n v="0"/>
    <s v="REG101195"/>
    <x v="1115"/>
    <n v="12.95"/>
    <x v="242"/>
    <d v="2023-09-19T00:00:00"/>
    <x v="2"/>
    <n v="2244.85"/>
    <n v="336.72749999999996"/>
    <n v="1908.1224999999999"/>
    <n v="5"/>
    <x v="881"/>
    <n v="0"/>
  </r>
  <r>
    <d v="2023-11-06T00:00:00"/>
    <x v="2"/>
    <x v="6"/>
    <x v="18"/>
    <n v="114.47"/>
    <s v="Store B"/>
    <x v="0"/>
    <n v="0.15"/>
    <x v="3"/>
    <n v="1556.7919999999999"/>
    <x v="0"/>
    <m/>
    <n v="0"/>
    <s v="REG101196"/>
    <x v="209"/>
    <n v="43.85"/>
    <x v="265"/>
    <d v="2023-11-11T00:00:00"/>
    <x v="2"/>
    <n v="1831.52"/>
    <n v="274.72800000000001"/>
    <n v="1556.7919999999999"/>
    <n v="5"/>
    <x v="882"/>
    <n v="0"/>
  </r>
  <r>
    <d v="2024-06-23T00:00:00"/>
    <x v="2"/>
    <x v="4"/>
    <x v="17"/>
    <n v="36.21"/>
    <s v="Store C"/>
    <x v="0"/>
    <n v="0.15"/>
    <x v="5"/>
    <n v="277.00650000000002"/>
    <x v="2"/>
    <s v="FREESHIP"/>
    <n v="0"/>
    <s v="REG101197"/>
    <x v="1116"/>
    <n v="6.71"/>
    <x v="678"/>
    <d v="2024-06-30T00:00:00"/>
    <x v="2"/>
    <n v="325.89"/>
    <n v="48.883499999999998"/>
    <n v="277.00649999999996"/>
    <n v="7"/>
    <x v="883"/>
    <n v="0"/>
  </r>
  <r>
    <d v="2023-03-30T00:00:00"/>
    <x v="4"/>
    <x v="6"/>
    <x v="12"/>
    <n v="52.58"/>
    <s v="Store B"/>
    <x v="0"/>
    <n v="0.1"/>
    <x v="0"/>
    <n v="473.22"/>
    <x v="4"/>
    <s v="WINTER15"/>
    <n v="0"/>
    <s v="REG101198"/>
    <x v="1117"/>
    <n v="14.01"/>
    <x v="306"/>
    <d v="2023-04-09T00:00:00"/>
    <x v="4"/>
    <n v="525.79999999999995"/>
    <n v="52.58"/>
    <n v="473.21999999999997"/>
    <n v="10"/>
    <x v="884"/>
    <n v="0"/>
  </r>
  <r>
    <d v="2024-10-05T00:00:00"/>
    <x v="0"/>
    <x v="1"/>
    <x v="16"/>
    <n v="272.26"/>
    <s v="Store A"/>
    <x v="1"/>
    <n v="0.1"/>
    <x v="3"/>
    <n v="1470.204"/>
    <x v="3"/>
    <s v="SAVE10"/>
    <n v="0"/>
    <s v="REG101199"/>
    <x v="1118"/>
    <n v="43.67"/>
    <x v="198"/>
    <d v="2024-10-15T00:00:00"/>
    <x v="0"/>
    <n v="1633.56"/>
    <n v="163.35599999999999"/>
    <n v="1470.204"/>
    <n v="10"/>
    <x v="885"/>
    <n v="0"/>
  </r>
  <r>
    <d v="2023-03-19T00:00:00"/>
    <x v="3"/>
    <x v="3"/>
    <x v="12"/>
    <n v="124.97"/>
    <s v="Store D"/>
    <x v="1"/>
    <n v="0.15"/>
    <x v="0"/>
    <n v="1062.2449999999999"/>
    <x v="1"/>
    <s v="WINTER15"/>
    <n v="1"/>
    <s v="REG101200"/>
    <x v="1119"/>
    <n v="40.229999999999997"/>
    <x v="127"/>
    <d v="2023-03-29T00:00:00"/>
    <x v="3"/>
    <n v="1249.7"/>
    <n v="187.45500000000001"/>
    <n v="1062.2450000000001"/>
    <n v="10"/>
    <x v="886"/>
    <n v="0"/>
  </r>
  <r>
    <d v="2025-03-17T00:00:00"/>
    <x v="2"/>
    <x v="1"/>
    <x v="17"/>
    <n v="228.62"/>
    <s v="Store C"/>
    <x v="1"/>
    <n v="0.05"/>
    <x v="0"/>
    <n v="1954.701"/>
    <x v="1"/>
    <s v="SAVE10"/>
    <n v="0"/>
    <s v="REG101201"/>
    <x v="1120"/>
    <n v="31.43"/>
    <x v="253"/>
    <d v="2025-03-21T00:00:00"/>
    <x v="2"/>
    <n v="2057.58"/>
    <n v="102.879"/>
    <n v="1954.701"/>
    <n v="4"/>
    <x v="887"/>
    <n v="0"/>
  </r>
  <r>
    <d v="2024-12-18T00:00:00"/>
    <x v="3"/>
    <x v="0"/>
    <x v="11"/>
    <n v="282.91000000000003"/>
    <s v="Store A"/>
    <x v="0"/>
    <n v="0.15"/>
    <x v="2"/>
    <n v="4809.47"/>
    <x v="3"/>
    <s v="FREESHIP"/>
    <n v="0"/>
    <s v="REG101202"/>
    <x v="1121"/>
    <n v="8.19"/>
    <x v="227"/>
    <d v="2024-12-28T00:00:00"/>
    <x v="3"/>
    <n v="5658.2000000000007"/>
    <n v="848.73000000000013"/>
    <n v="4809.47"/>
    <n v="10"/>
    <x v="888"/>
    <n v="0"/>
  </r>
  <r>
    <d v="2025-01-06T00:00:00"/>
    <x v="4"/>
    <x v="5"/>
    <x v="9"/>
    <n v="129.62"/>
    <s v="Store D"/>
    <x v="1"/>
    <n v="0.15"/>
    <x v="0"/>
    <n v="1873.009"/>
    <x v="0"/>
    <s v="FREESHIP"/>
    <n v="0"/>
    <s v="REG101203"/>
    <x v="1122"/>
    <n v="24.28"/>
    <x v="428"/>
    <d v="2025-01-08T00:00:00"/>
    <x v="4"/>
    <n v="2203.54"/>
    <n v="330.53100000000001"/>
    <n v="1873.009"/>
    <n v="2"/>
    <x v="889"/>
    <n v="0"/>
  </r>
  <r>
    <d v="2025-01-14T00:00:00"/>
    <x v="3"/>
    <x v="4"/>
    <x v="16"/>
    <n v="162.35"/>
    <s v="Store B"/>
    <x v="0"/>
    <n v="0.05"/>
    <x v="0"/>
    <n v="925.39499999999987"/>
    <x v="2"/>
    <s v="SAVE10"/>
    <n v="1"/>
    <s v="REG101204"/>
    <x v="1123"/>
    <n v="19.18"/>
    <x v="679"/>
    <d v="2025-01-20T00:00:00"/>
    <x v="3"/>
    <n v="974.09999999999991"/>
    <n v="48.704999999999998"/>
    <n v="925.39499999999987"/>
    <n v="6"/>
    <x v="890"/>
    <n v="0"/>
  </r>
  <r>
    <d v="2023-01-26T00:00:00"/>
    <x v="1"/>
    <x v="6"/>
    <x v="0"/>
    <n v="209.82"/>
    <s v="Store B"/>
    <x v="0"/>
    <n v="0"/>
    <x v="0"/>
    <n v="2937.48"/>
    <x v="4"/>
    <s v="SAVE10"/>
    <n v="0"/>
    <s v="REG101205"/>
    <x v="1124"/>
    <n v="36.11"/>
    <x v="592"/>
    <d v="2023-01-30T00:00:00"/>
    <x v="1"/>
    <n v="2937.48"/>
    <n v="0"/>
    <n v="2937.48"/>
    <n v="4"/>
    <x v="0"/>
    <n v="0"/>
  </r>
  <r>
    <d v="2024-08-04T00:00:00"/>
    <x v="2"/>
    <x v="0"/>
    <x v="18"/>
    <n v="293.44"/>
    <s v="Store D"/>
    <x v="0"/>
    <n v="0.05"/>
    <x v="4"/>
    <n v="4460.2879999999996"/>
    <x v="1"/>
    <s v="SAVE10"/>
    <n v="0"/>
    <s v="REG101206"/>
    <x v="1125"/>
    <n v="42.56"/>
    <x v="270"/>
    <d v="2024-08-14T00:00:00"/>
    <x v="2"/>
    <n v="4695.04"/>
    <n v="234.75200000000001"/>
    <n v="4460.2879999999996"/>
    <n v="10"/>
    <x v="891"/>
    <n v="0"/>
  </r>
  <r>
    <d v="2024-02-13T00:00:00"/>
    <x v="2"/>
    <x v="1"/>
    <x v="10"/>
    <n v="185.52"/>
    <s v="Store D"/>
    <x v="0"/>
    <n v="0.15"/>
    <x v="4"/>
    <n v="1734.6120000000001"/>
    <x v="2"/>
    <s v="WINTER15"/>
    <n v="0"/>
    <s v="REG101207"/>
    <x v="1126"/>
    <n v="38.53"/>
    <x v="30"/>
    <d v="2024-02-16T00:00:00"/>
    <x v="2"/>
    <n v="2040.72"/>
    <n v="306.108"/>
    <n v="1734.6120000000001"/>
    <n v="3"/>
    <x v="892"/>
    <n v="0"/>
  </r>
  <r>
    <d v="2023-02-11T00:00:00"/>
    <x v="3"/>
    <x v="2"/>
    <x v="2"/>
    <n v="268.38"/>
    <s v="Store D"/>
    <x v="0"/>
    <n v="0.15"/>
    <x v="1"/>
    <n v="4106.2139999999999"/>
    <x v="4"/>
    <s v="FREESHIP"/>
    <n v="0"/>
    <s v="REG101208"/>
    <x v="1127"/>
    <n v="48.38"/>
    <x v="70"/>
    <d v="2023-02-14T00:00:00"/>
    <x v="3"/>
    <n v="4830.84"/>
    <n v="724.62599999999998"/>
    <n v="4106.2139999999999"/>
    <n v="3"/>
    <x v="893"/>
    <n v="0"/>
  </r>
  <r>
    <d v="2024-06-17T00:00:00"/>
    <x v="0"/>
    <x v="6"/>
    <x v="2"/>
    <n v="547.04999999999995"/>
    <s v="Store C"/>
    <x v="0"/>
    <n v="0.1"/>
    <x v="3"/>
    <n v="8862.2099999999991"/>
    <x v="4"/>
    <s v="FREESHIP"/>
    <n v="0"/>
    <s v="REG101209"/>
    <x v="1128"/>
    <n v="10.99"/>
    <x v="545"/>
    <d v="2024-06-22T00:00:00"/>
    <x v="0"/>
    <n v="9846.9"/>
    <n v="984.69"/>
    <n v="8862.2099999999991"/>
    <n v="5"/>
    <x v="894"/>
    <n v="0"/>
  </r>
  <r>
    <d v="2024-06-06T00:00:00"/>
    <x v="1"/>
    <x v="0"/>
    <x v="1"/>
    <n v="354.21"/>
    <s v="Store A"/>
    <x v="0"/>
    <n v="0.15"/>
    <x v="3"/>
    <n v="301.07850000000002"/>
    <x v="0"/>
    <m/>
    <n v="0"/>
    <s v="REG101210"/>
    <x v="1129"/>
    <n v="26.16"/>
    <x v="566"/>
    <d v="2024-06-12T00:00:00"/>
    <x v="1"/>
    <n v="354.21"/>
    <n v="53.131499999999996"/>
    <n v="301.07849999999996"/>
    <n v="6"/>
    <x v="895"/>
    <n v="0"/>
  </r>
  <r>
    <d v="2023-11-26T00:00:00"/>
    <x v="1"/>
    <x v="3"/>
    <x v="2"/>
    <n v="250.93"/>
    <s v="Store C"/>
    <x v="0"/>
    <n v="0.05"/>
    <x v="5"/>
    <n v="4290.9029999999993"/>
    <x v="1"/>
    <m/>
    <n v="0"/>
    <s v="REG101211"/>
    <x v="1130"/>
    <n v="47.67"/>
    <x v="168"/>
    <d v="2023-12-02T00:00:00"/>
    <x v="1"/>
    <n v="4516.74"/>
    <n v="225.83699999999999"/>
    <n v="4290.9030000000002"/>
    <n v="6"/>
    <x v="896"/>
    <n v="0"/>
  </r>
  <r>
    <d v="2024-04-07T00:00:00"/>
    <x v="4"/>
    <x v="6"/>
    <x v="2"/>
    <n v="587.25"/>
    <s v="Store C"/>
    <x v="0"/>
    <n v="0.15"/>
    <x v="3"/>
    <n v="8984.9249999999993"/>
    <x v="0"/>
    <m/>
    <n v="0"/>
    <s v="REG101212"/>
    <x v="1131"/>
    <n v="42.15"/>
    <x v="680"/>
    <d v="2024-04-09T00:00:00"/>
    <x v="4"/>
    <n v="10570.5"/>
    <n v="1585.575"/>
    <n v="8984.9249999999993"/>
    <n v="2"/>
    <x v="897"/>
    <n v="0"/>
  </r>
  <r>
    <d v="2023-02-03T00:00:00"/>
    <x v="4"/>
    <x v="2"/>
    <x v="3"/>
    <n v="438.06"/>
    <s v="Store B"/>
    <x v="1"/>
    <n v="0"/>
    <x v="2"/>
    <n v="876.12"/>
    <x v="0"/>
    <s v="FREESHIP"/>
    <n v="1"/>
    <s v="REG101213"/>
    <x v="1132"/>
    <n v="12.9"/>
    <x v="151"/>
    <d v="2023-02-09T00:00:00"/>
    <x v="4"/>
    <n v="876.12"/>
    <n v="0"/>
    <n v="876.12"/>
    <n v="6"/>
    <x v="0"/>
    <n v="0"/>
  </r>
  <r>
    <d v="2024-11-25T00:00:00"/>
    <x v="0"/>
    <x v="3"/>
    <x v="0"/>
    <n v="6.1"/>
    <s v="Store C"/>
    <x v="0"/>
    <n v="0.15"/>
    <x v="3"/>
    <n v="72.589999999999989"/>
    <x v="0"/>
    <s v="FREESHIP"/>
    <n v="1"/>
    <s v="REG101214"/>
    <x v="1133"/>
    <n v="10.18"/>
    <x v="681"/>
    <d v="2024-11-30T00:00:00"/>
    <x v="0"/>
    <n v="85.399999999999991"/>
    <n v="12.809999999999999"/>
    <n v="72.589999999999989"/>
    <n v="5"/>
    <x v="898"/>
    <n v="0"/>
  </r>
  <r>
    <d v="2024-06-30T00:00:00"/>
    <x v="2"/>
    <x v="0"/>
    <x v="3"/>
    <n v="80.14"/>
    <s v="Store D"/>
    <x v="0"/>
    <n v="0"/>
    <x v="3"/>
    <n v="160.28"/>
    <x v="0"/>
    <s v="FREESHIP"/>
    <n v="1"/>
    <s v="REG101215"/>
    <x v="1134"/>
    <n v="13.41"/>
    <x v="261"/>
    <d v="2024-07-03T00:00:00"/>
    <x v="2"/>
    <n v="160.28"/>
    <n v="0"/>
    <n v="160.28"/>
    <n v="3"/>
    <x v="0"/>
    <n v="0"/>
  </r>
  <r>
    <d v="2023-08-02T00:00:00"/>
    <x v="1"/>
    <x v="0"/>
    <x v="10"/>
    <n v="66.97"/>
    <s v="Store A"/>
    <x v="1"/>
    <n v="0.15"/>
    <x v="5"/>
    <n v="626.16949999999997"/>
    <x v="1"/>
    <s v="FREESHIP"/>
    <n v="1"/>
    <s v="REG101216"/>
    <x v="1135"/>
    <n v="20.350000000000001"/>
    <x v="562"/>
    <d v="2023-08-11T00:00:00"/>
    <x v="1"/>
    <n v="736.67"/>
    <n v="110.50049999999999"/>
    <n v="626.16949999999997"/>
    <n v="9"/>
    <x v="899"/>
    <n v="0"/>
  </r>
  <r>
    <d v="2024-02-22T00:00:00"/>
    <x v="1"/>
    <x v="3"/>
    <x v="16"/>
    <n v="181.34"/>
    <s v="Store A"/>
    <x v="0"/>
    <n v="0"/>
    <x v="1"/>
    <n v="1088.04"/>
    <x v="4"/>
    <s v="FREESHIP"/>
    <n v="0"/>
    <s v="REG101217"/>
    <x v="1136"/>
    <n v="27.65"/>
    <x v="193"/>
    <d v="2024-02-27T00:00:00"/>
    <x v="1"/>
    <n v="1088.04"/>
    <n v="0"/>
    <n v="1088.04"/>
    <n v="5"/>
    <x v="0"/>
    <n v="0"/>
  </r>
  <r>
    <d v="2024-11-29T00:00:00"/>
    <x v="2"/>
    <x v="4"/>
    <x v="7"/>
    <n v="570"/>
    <s v="Store D"/>
    <x v="0"/>
    <n v="0.05"/>
    <x v="2"/>
    <n v="8122.5"/>
    <x v="1"/>
    <m/>
    <n v="0"/>
    <s v="REG101218"/>
    <x v="1137"/>
    <n v="7.62"/>
    <x v="682"/>
    <d v="2024-12-09T00:00:00"/>
    <x v="2"/>
    <n v="8550"/>
    <n v="427.5"/>
    <n v="8122.5"/>
    <n v="10"/>
    <x v="900"/>
    <n v="0"/>
  </r>
  <r>
    <d v="2023-07-21T00:00:00"/>
    <x v="2"/>
    <x v="4"/>
    <x v="17"/>
    <n v="587.79"/>
    <s v="Store D"/>
    <x v="0"/>
    <n v="0.15"/>
    <x v="5"/>
    <n v="4496.5934999999999"/>
    <x v="0"/>
    <m/>
    <n v="0"/>
    <s v="REG101219"/>
    <x v="1138"/>
    <n v="24.64"/>
    <x v="12"/>
    <d v="2023-07-31T00:00:00"/>
    <x v="2"/>
    <n v="5290.11"/>
    <n v="793.51649999999995"/>
    <n v="4496.5934999999999"/>
    <n v="10"/>
    <x v="901"/>
    <n v="0"/>
  </r>
  <r>
    <d v="2023-04-14T00:00:00"/>
    <x v="3"/>
    <x v="1"/>
    <x v="16"/>
    <n v="196.31"/>
    <s v="Store C"/>
    <x v="1"/>
    <n v="0.1"/>
    <x v="3"/>
    <n v="1060.0740000000001"/>
    <x v="0"/>
    <s v="WINTER15"/>
    <n v="0"/>
    <s v="REG101220"/>
    <x v="1139"/>
    <n v="38.65"/>
    <x v="271"/>
    <d v="2023-04-17T00:00:00"/>
    <x v="3"/>
    <n v="1177.8600000000001"/>
    <n v="117.78600000000002"/>
    <n v="1060.0740000000001"/>
    <n v="3"/>
    <x v="902"/>
    <n v="0"/>
  </r>
  <r>
    <d v="2023-02-01T00:00:00"/>
    <x v="2"/>
    <x v="1"/>
    <x v="19"/>
    <n v="430.06"/>
    <s v="Store B"/>
    <x v="0"/>
    <n v="0.05"/>
    <x v="5"/>
    <n v="3268.4560000000001"/>
    <x v="3"/>
    <s v="SAVE10"/>
    <n v="0"/>
    <s v="REG101221"/>
    <x v="1140"/>
    <n v="38.450000000000003"/>
    <x v="307"/>
    <d v="2023-02-05T00:00:00"/>
    <x v="2"/>
    <n v="3440.48"/>
    <n v="172.024"/>
    <n v="3268.4560000000001"/>
    <n v="4"/>
    <x v="903"/>
    <n v="0"/>
  </r>
  <r>
    <d v="2024-06-30T00:00:00"/>
    <x v="0"/>
    <x v="4"/>
    <x v="0"/>
    <n v="429.72"/>
    <s v="Store A"/>
    <x v="1"/>
    <n v="0.1"/>
    <x v="0"/>
    <n v="5414.4719999999998"/>
    <x v="4"/>
    <s v="SAVE10"/>
    <n v="0"/>
    <s v="REG101222"/>
    <x v="1141"/>
    <n v="45.78"/>
    <x v="261"/>
    <d v="2024-07-05T00:00:00"/>
    <x v="0"/>
    <n v="6016.08"/>
    <n v="601.60800000000006"/>
    <n v="5414.4719999999998"/>
    <n v="5"/>
    <x v="904"/>
    <n v="0"/>
  </r>
  <r>
    <d v="2023-10-18T00:00:00"/>
    <x v="3"/>
    <x v="1"/>
    <x v="14"/>
    <n v="127.34"/>
    <s v="Store D"/>
    <x v="0"/>
    <n v="0"/>
    <x v="1"/>
    <n v="1655.42"/>
    <x v="2"/>
    <s v="WINTER15"/>
    <n v="0"/>
    <s v="REG101223"/>
    <x v="1142"/>
    <n v="6.15"/>
    <x v="90"/>
    <d v="2023-10-21T00:00:00"/>
    <x v="3"/>
    <n v="1655.42"/>
    <n v="0"/>
    <n v="1655.42"/>
    <n v="3"/>
    <x v="0"/>
    <n v="0"/>
  </r>
  <r>
    <d v="2024-07-04T00:00:00"/>
    <x v="0"/>
    <x v="4"/>
    <x v="16"/>
    <n v="421.97"/>
    <s v="Store B"/>
    <x v="0"/>
    <n v="0.05"/>
    <x v="5"/>
    <n v="2405.2289999999998"/>
    <x v="4"/>
    <s v="WINTER15"/>
    <n v="0"/>
    <s v="REG101224"/>
    <x v="1143"/>
    <n v="41.31"/>
    <x v="532"/>
    <d v="2024-07-13T00:00:00"/>
    <x v="0"/>
    <n v="2531.8200000000002"/>
    <n v="126.59100000000001"/>
    <n v="2405.2290000000003"/>
    <n v="9"/>
    <x v="905"/>
    <n v="0"/>
  </r>
  <r>
    <d v="2024-07-04T00:00:00"/>
    <x v="0"/>
    <x v="5"/>
    <x v="6"/>
    <n v="225.69"/>
    <s v="Store A"/>
    <x v="0"/>
    <n v="0.15"/>
    <x v="3"/>
    <n v="959.1825"/>
    <x v="1"/>
    <s v="WINTER15"/>
    <n v="0"/>
    <s v="REG101225"/>
    <x v="1144"/>
    <n v="47.6"/>
    <x v="532"/>
    <d v="2024-07-12T00:00:00"/>
    <x v="0"/>
    <n v="1128.45"/>
    <n v="169.26750000000001"/>
    <n v="959.1825"/>
    <n v="8"/>
    <x v="906"/>
    <n v="0"/>
  </r>
  <r>
    <d v="2023-07-27T00:00:00"/>
    <x v="2"/>
    <x v="4"/>
    <x v="12"/>
    <n v="322.11"/>
    <s v="Store A"/>
    <x v="1"/>
    <n v="0.15"/>
    <x v="4"/>
    <n v="2737.9349999999999"/>
    <x v="3"/>
    <s v="WINTER15"/>
    <n v="0"/>
    <s v="REG101226"/>
    <x v="1145"/>
    <n v="28.72"/>
    <x v="74"/>
    <d v="2023-08-02T00:00:00"/>
    <x v="2"/>
    <n v="3221.1000000000004"/>
    <n v="483.16500000000002"/>
    <n v="2737.9350000000004"/>
    <n v="6"/>
    <x v="907"/>
    <n v="0"/>
  </r>
  <r>
    <d v="2025-03-01T00:00:00"/>
    <x v="4"/>
    <x v="2"/>
    <x v="15"/>
    <n v="209.3"/>
    <s v="Store B"/>
    <x v="1"/>
    <n v="0.05"/>
    <x v="1"/>
    <n v="795.34"/>
    <x v="1"/>
    <m/>
    <n v="0"/>
    <s v="REG101227"/>
    <x v="1146"/>
    <n v="6.89"/>
    <x v="89"/>
    <d v="2025-03-06T00:00:00"/>
    <x v="4"/>
    <n v="837.2"/>
    <n v="41.860000000000007"/>
    <n v="795.34"/>
    <n v="5"/>
    <x v="908"/>
    <n v="0"/>
  </r>
  <r>
    <d v="2023-02-23T00:00:00"/>
    <x v="3"/>
    <x v="2"/>
    <x v="18"/>
    <n v="326.16000000000003"/>
    <s v="Store C"/>
    <x v="0"/>
    <n v="0.1"/>
    <x v="2"/>
    <n v="4696.7040000000006"/>
    <x v="2"/>
    <m/>
    <n v="0"/>
    <s v="REG101228"/>
    <x v="1147"/>
    <n v="44.3"/>
    <x v="0"/>
    <d v="2023-02-25T00:00:00"/>
    <x v="3"/>
    <n v="5218.5600000000004"/>
    <n v="521.85600000000011"/>
    <n v="4696.7040000000006"/>
    <n v="2"/>
    <x v="909"/>
    <n v="0"/>
  </r>
  <r>
    <d v="2023-01-11T00:00:00"/>
    <x v="0"/>
    <x v="4"/>
    <x v="14"/>
    <n v="515.41999999999996"/>
    <s v="Store D"/>
    <x v="1"/>
    <n v="0"/>
    <x v="5"/>
    <n v="6700.4599999999991"/>
    <x v="0"/>
    <s v="FREESHIP"/>
    <n v="0"/>
    <s v="REG101229"/>
    <x v="1148"/>
    <n v="43.37"/>
    <x v="6"/>
    <d v="2023-01-20T00:00:00"/>
    <x v="0"/>
    <n v="6700.4599999999991"/>
    <n v="0"/>
    <n v="6700.4599999999991"/>
    <n v="9"/>
    <x v="0"/>
    <n v="0"/>
  </r>
  <r>
    <d v="2024-04-16T00:00:00"/>
    <x v="4"/>
    <x v="5"/>
    <x v="4"/>
    <n v="129.83000000000001"/>
    <s v="Store A"/>
    <x v="0"/>
    <n v="0"/>
    <x v="3"/>
    <n v="908.81000000000006"/>
    <x v="1"/>
    <s v="WINTER15"/>
    <n v="0"/>
    <s v="REG101230"/>
    <x v="1149"/>
    <n v="13.12"/>
    <x v="683"/>
    <d v="2024-04-20T00:00:00"/>
    <x v="4"/>
    <n v="908.81000000000006"/>
    <n v="0"/>
    <n v="908.81000000000006"/>
    <n v="4"/>
    <x v="0"/>
    <n v="0"/>
  </r>
  <r>
    <d v="2024-03-09T00:00:00"/>
    <x v="3"/>
    <x v="4"/>
    <x v="9"/>
    <n v="376.15"/>
    <s v="Store C"/>
    <x v="1"/>
    <n v="0.05"/>
    <x v="4"/>
    <n v="6074.8224999999993"/>
    <x v="1"/>
    <s v="WINTER15"/>
    <n v="1"/>
    <s v="REG101231"/>
    <x v="1150"/>
    <n v="31.96"/>
    <x v="542"/>
    <d v="2024-03-12T00:00:00"/>
    <x v="3"/>
    <n v="6394.5499999999993"/>
    <n v="319.72749999999996"/>
    <n v="6074.8224999999993"/>
    <n v="3"/>
    <x v="910"/>
    <n v="0"/>
  </r>
  <r>
    <d v="2024-10-07T00:00:00"/>
    <x v="1"/>
    <x v="3"/>
    <x v="19"/>
    <n v="385.46"/>
    <s v="Store A"/>
    <x v="0"/>
    <n v="0"/>
    <x v="5"/>
    <n v="3083.68"/>
    <x v="4"/>
    <s v="SAVE10"/>
    <n v="0"/>
    <s v="REG101232"/>
    <x v="1151"/>
    <n v="8.89"/>
    <x v="263"/>
    <d v="2024-10-11T00:00:00"/>
    <x v="1"/>
    <n v="3083.68"/>
    <n v="0"/>
    <n v="3083.68"/>
    <n v="4"/>
    <x v="0"/>
    <n v="0"/>
  </r>
  <r>
    <d v="2023-10-06T00:00:00"/>
    <x v="4"/>
    <x v="6"/>
    <x v="3"/>
    <n v="474.13"/>
    <s v="Store D"/>
    <x v="0"/>
    <n v="0"/>
    <x v="3"/>
    <n v="948.26"/>
    <x v="1"/>
    <s v="FREESHIP"/>
    <n v="1"/>
    <s v="REG101233"/>
    <x v="1152"/>
    <n v="14.41"/>
    <x v="677"/>
    <d v="2023-10-15T00:00:00"/>
    <x v="4"/>
    <n v="948.26"/>
    <n v="0"/>
    <n v="948.26"/>
    <n v="9"/>
    <x v="0"/>
    <n v="0"/>
  </r>
  <r>
    <d v="2023-04-08T00:00:00"/>
    <x v="4"/>
    <x v="4"/>
    <x v="7"/>
    <n v="506.17"/>
    <s v="Store B"/>
    <x v="0"/>
    <n v="0.05"/>
    <x v="1"/>
    <n v="7212.9224999999997"/>
    <x v="0"/>
    <m/>
    <n v="0"/>
    <s v="REG101234"/>
    <x v="1153"/>
    <n v="41.73"/>
    <x v="684"/>
    <d v="2023-04-13T00:00:00"/>
    <x v="4"/>
    <n v="7592.55"/>
    <n v="379.62750000000005"/>
    <n v="7212.9225000000006"/>
    <n v="5"/>
    <x v="911"/>
    <n v="0"/>
  </r>
  <r>
    <d v="2024-02-20T00:00:00"/>
    <x v="1"/>
    <x v="1"/>
    <x v="1"/>
    <n v="67.38"/>
    <s v="Store D"/>
    <x v="1"/>
    <n v="0.15"/>
    <x v="1"/>
    <n v="57.273000000000003"/>
    <x v="2"/>
    <s v="WINTER15"/>
    <n v="0"/>
    <s v="REG101235"/>
    <x v="1154"/>
    <n v="6.14"/>
    <x v="5"/>
    <d v="2024-02-27T00:00:00"/>
    <x v="1"/>
    <n v="67.38"/>
    <n v="10.106999999999999"/>
    <n v="57.272999999999996"/>
    <n v="7"/>
    <x v="912"/>
    <n v="0"/>
  </r>
  <r>
    <d v="2023-01-30T00:00:00"/>
    <x v="4"/>
    <x v="3"/>
    <x v="7"/>
    <n v="274.3"/>
    <s v="Store B"/>
    <x v="1"/>
    <n v="0.15"/>
    <x v="2"/>
    <n v="3497.3249999999998"/>
    <x v="2"/>
    <m/>
    <n v="0"/>
    <s v="REG101236"/>
    <x v="1155"/>
    <n v="21.56"/>
    <x v="685"/>
    <d v="2023-02-08T00:00:00"/>
    <x v="4"/>
    <n v="4114.5"/>
    <n v="617.17499999999995"/>
    <n v="3497.3249999999998"/>
    <n v="9"/>
    <x v="913"/>
    <n v="0"/>
  </r>
  <r>
    <d v="2023-05-12T00:00:00"/>
    <x v="1"/>
    <x v="4"/>
    <x v="3"/>
    <n v="334.48"/>
    <s v="Store B"/>
    <x v="0"/>
    <n v="0"/>
    <x v="1"/>
    <n v="668.96"/>
    <x v="3"/>
    <m/>
    <n v="0"/>
    <s v="REG101237"/>
    <x v="1156"/>
    <n v="31.53"/>
    <x v="551"/>
    <d v="2023-05-20T00:00:00"/>
    <x v="1"/>
    <n v="668.96"/>
    <n v="0"/>
    <n v="668.96"/>
    <n v="8"/>
    <x v="0"/>
    <n v="0"/>
  </r>
  <r>
    <d v="2024-01-08T00:00:00"/>
    <x v="1"/>
    <x v="3"/>
    <x v="4"/>
    <n v="562.6"/>
    <s v="Store A"/>
    <x v="1"/>
    <n v="0.15"/>
    <x v="0"/>
    <n v="3347.47"/>
    <x v="0"/>
    <s v="WINTER15"/>
    <n v="0"/>
    <s v="REG101238"/>
    <x v="1157"/>
    <n v="19.95"/>
    <x v="590"/>
    <d v="2024-01-12T00:00:00"/>
    <x v="1"/>
    <n v="3938.2000000000003"/>
    <n v="590.73"/>
    <n v="3347.4700000000003"/>
    <n v="4"/>
    <x v="914"/>
    <n v="0"/>
  </r>
  <r>
    <d v="2024-06-05T00:00:00"/>
    <x v="2"/>
    <x v="4"/>
    <x v="4"/>
    <n v="14.34"/>
    <s v="Store D"/>
    <x v="1"/>
    <n v="0.05"/>
    <x v="1"/>
    <n v="95.36099999999999"/>
    <x v="3"/>
    <s v="WINTER15"/>
    <n v="0"/>
    <s v="REG101239"/>
    <x v="47"/>
    <n v="19.45"/>
    <x v="410"/>
    <d v="2024-06-08T00:00:00"/>
    <x v="2"/>
    <n v="100.38"/>
    <n v="5.0190000000000001"/>
    <n v="95.36099999999999"/>
    <n v="3"/>
    <x v="915"/>
    <n v="0"/>
  </r>
  <r>
    <d v="2025-05-21T00:00:00"/>
    <x v="0"/>
    <x v="1"/>
    <x v="10"/>
    <n v="34.72"/>
    <s v="Store B"/>
    <x v="0"/>
    <n v="0.1"/>
    <x v="4"/>
    <n v="343.72800000000001"/>
    <x v="1"/>
    <s v="FREESHIP"/>
    <n v="0"/>
    <s v="REG101240"/>
    <x v="1158"/>
    <n v="9.31"/>
    <x v="83"/>
    <d v="2025-05-23T00:00:00"/>
    <x v="0"/>
    <n v="381.91999999999996"/>
    <n v="38.192"/>
    <n v="343.72799999999995"/>
    <n v="2"/>
    <x v="916"/>
    <n v="0"/>
  </r>
  <r>
    <d v="2025-05-21T00:00:00"/>
    <x v="0"/>
    <x v="3"/>
    <x v="4"/>
    <n v="15.06"/>
    <s v="Store A"/>
    <x v="1"/>
    <n v="0"/>
    <x v="1"/>
    <n v="105.42"/>
    <x v="4"/>
    <m/>
    <n v="1"/>
    <s v="REG101241"/>
    <x v="1159"/>
    <n v="46.57"/>
    <x v="83"/>
    <d v="2025-05-26T00:00:00"/>
    <x v="0"/>
    <n v="105.42"/>
    <n v="0"/>
    <n v="105.42"/>
    <n v="5"/>
    <x v="0"/>
    <n v="0"/>
  </r>
  <r>
    <d v="2023-03-05T00:00:00"/>
    <x v="0"/>
    <x v="6"/>
    <x v="10"/>
    <n v="488.17"/>
    <s v="Store B"/>
    <x v="0"/>
    <n v="0.05"/>
    <x v="5"/>
    <n v="5101.3764999999994"/>
    <x v="4"/>
    <s v="WINTER15"/>
    <n v="1"/>
    <s v="REG101242"/>
    <x v="1160"/>
    <n v="37.47"/>
    <x v="509"/>
    <d v="2023-03-11T00:00:00"/>
    <x v="0"/>
    <n v="5369.87"/>
    <n v="268.49349999999998"/>
    <n v="5101.3765000000003"/>
    <n v="6"/>
    <x v="917"/>
    <n v="0"/>
  </r>
  <r>
    <d v="2024-10-27T00:00:00"/>
    <x v="1"/>
    <x v="5"/>
    <x v="12"/>
    <n v="268.39"/>
    <s v="Store B"/>
    <x v="1"/>
    <n v="0.05"/>
    <x v="1"/>
    <n v="2549.704999999999"/>
    <x v="2"/>
    <s v="SAVE10"/>
    <n v="0"/>
    <s v="REG101243"/>
    <x v="883"/>
    <n v="25.86"/>
    <x v="686"/>
    <d v="2024-11-02T00:00:00"/>
    <x v="1"/>
    <n v="2683.8999999999996"/>
    <n v="134.19499999999999"/>
    <n v="2549.7049999999995"/>
    <n v="6"/>
    <x v="918"/>
    <n v="0"/>
  </r>
  <r>
    <d v="2025-03-24T00:00:00"/>
    <x v="2"/>
    <x v="5"/>
    <x v="6"/>
    <n v="64.180000000000007"/>
    <s v="Store C"/>
    <x v="1"/>
    <n v="0.1"/>
    <x v="0"/>
    <n v="288.81000000000012"/>
    <x v="1"/>
    <s v="SAVE10"/>
    <n v="0"/>
    <s v="REG101244"/>
    <x v="1161"/>
    <n v="21.17"/>
    <x v="687"/>
    <d v="2025-03-29T00:00:00"/>
    <x v="2"/>
    <n v="320.90000000000003"/>
    <n v="32.090000000000003"/>
    <n v="288.81000000000006"/>
    <n v="5"/>
    <x v="919"/>
    <n v="0"/>
  </r>
  <r>
    <d v="2024-09-21T00:00:00"/>
    <x v="4"/>
    <x v="1"/>
    <x v="7"/>
    <n v="466.55"/>
    <s v="Store A"/>
    <x v="1"/>
    <n v="0.05"/>
    <x v="1"/>
    <n v="6648.3374999999996"/>
    <x v="4"/>
    <s v="SAVE10"/>
    <n v="1"/>
    <s v="REG101245"/>
    <x v="1162"/>
    <n v="36.68"/>
    <x v="367"/>
    <d v="2024-09-27T00:00:00"/>
    <x v="4"/>
    <n v="6998.25"/>
    <n v="349.91250000000002"/>
    <n v="6648.3374999999996"/>
    <n v="6"/>
    <x v="920"/>
    <n v="0"/>
  </r>
  <r>
    <d v="2025-05-18T00:00:00"/>
    <x v="2"/>
    <x v="2"/>
    <x v="19"/>
    <n v="505.34"/>
    <s v="Store B"/>
    <x v="1"/>
    <n v="0.05"/>
    <x v="5"/>
    <n v="3840.5839999999998"/>
    <x v="3"/>
    <m/>
    <n v="0"/>
    <s v="REG101246"/>
    <x v="1163"/>
    <n v="22.88"/>
    <x v="662"/>
    <d v="2025-05-27T00:00:00"/>
    <x v="2"/>
    <n v="4042.72"/>
    <n v="202.136"/>
    <n v="3840.5839999999998"/>
    <n v="9"/>
    <x v="921"/>
    <n v="0"/>
  </r>
  <r>
    <d v="2024-07-11T00:00:00"/>
    <x v="0"/>
    <x v="4"/>
    <x v="16"/>
    <n v="100.75"/>
    <s v="Store A"/>
    <x v="0"/>
    <n v="0.1"/>
    <x v="2"/>
    <n v="544.05000000000007"/>
    <x v="2"/>
    <s v="FREESHIP"/>
    <n v="0"/>
    <s v="REG101247"/>
    <x v="1164"/>
    <n v="12.98"/>
    <x v="156"/>
    <d v="2024-07-14T00:00:00"/>
    <x v="0"/>
    <n v="604.5"/>
    <n v="60.45"/>
    <n v="544.04999999999995"/>
    <n v="3"/>
    <x v="922"/>
    <n v="0"/>
  </r>
  <r>
    <d v="2025-01-27T00:00:00"/>
    <x v="2"/>
    <x v="5"/>
    <x v="19"/>
    <n v="352.72"/>
    <s v="Store C"/>
    <x v="1"/>
    <n v="0.05"/>
    <x v="3"/>
    <n v="2680.672"/>
    <x v="4"/>
    <m/>
    <n v="0"/>
    <s v="REG101248"/>
    <x v="1165"/>
    <n v="30.8"/>
    <x v="614"/>
    <d v="2025-02-04T00:00:00"/>
    <x v="2"/>
    <n v="2821.76"/>
    <n v="141.08800000000002"/>
    <n v="2680.672"/>
    <n v="8"/>
    <x v="923"/>
    <n v="0"/>
  </r>
  <r>
    <d v="2023-11-26T00:00:00"/>
    <x v="0"/>
    <x v="0"/>
    <x v="17"/>
    <n v="526.26"/>
    <s v="Store B"/>
    <x v="1"/>
    <n v="0"/>
    <x v="5"/>
    <n v="4736.34"/>
    <x v="4"/>
    <s v="FREESHIP"/>
    <n v="0"/>
    <s v="REG101249"/>
    <x v="664"/>
    <n v="15.47"/>
    <x v="168"/>
    <d v="2023-12-06T00:00:00"/>
    <x v="0"/>
    <n v="4736.34"/>
    <n v="0"/>
    <n v="4736.34"/>
    <n v="10"/>
    <x v="0"/>
    <n v="0"/>
  </r>
  <r>
    <d v="2024-06-02T00:00:00"/>
    <x v="3"/>
    <x v="6"/>
    <x v="2"/>
    <n v="519.41999999999996"/>
    <s v="Store C"/>
    <x v="1"/>
    <n v="0.15"/>
    <x v="0"/>
    <n v="7947.1259999999993"/>
    <x v="4"/>
    <s v="WINTER15"/>
    <n v="0"/>
    <s v="REG101250"/>
    <x v="1166"/>
    <n v="32.96"/>
    <x v="403"/>
    <d v="2024-06-04T00:00:00"/>
    <x v="3"/>
    <n v="9349.56"/>
    <n v="1402.434"/>
    <n v="7947.1259999999993"/>
    <n v="2"/>
    <x v="924"/>
    <n v="0"/>
  </r>
  <r>
    <d v="2023-01-17T00:00:00"/>
    <x v="2"/>
    <x v="3"/>
    <x v="2"/>
    <n v="108.46"/>
    <s v="Store D"/>
    <x v="0"/>
    <n v="0.05"/>
    <x v="2"/>
    <n v="1854.6659999999999"/>
    <x v="0"/>
    <s v="SAVE10"/>
    <n v="0"/>
    <s v="REG101251"/>
    <x v="1167"/>
    <n v="10.72"/>
    <x v="585"/>
    <d v="2023-01-24T00:00:00"/>
    <x v="2"/>
    <n v="1952.28"/>
    <n v="97.614000000000004"/>
    <n v="1854.6659999999999"/>
    <n v="7"/>
    <x v="925"/>
    <n v="0"/>
  </r>
  <r>
    <d v="2025-05-03T00:00:00"/>
    <x v="2"/>
    <x v="2"/>
    <x v="14"/>
    <n v="420.68"/>
    <s v="Store D"/>
    <x v="0"/>
    <n v="0.05"/>
    <x v="2"/>
    <n v="5195.3980000000001"/>
    <x v="0"/>
    <m/>
    <n v="0"/>
    <s v="REG101252"/>
    <x v="1168"/>
    <n v="24.51"/>
    <x v="688"/>
    <d v="2025-05-11T00:00:00"/>
    <x v="2"/>
    <n v="5468.84"/>
    <n v="273.44200000000001"/>
    <n v="5195.3980000000001"/>
    <n v="8"/>
    <x v="926"/>
    <n v="0"/>
  </r>
  <r>
    <d v="2025-01-05T00:00:00"/>
    <x v="2"/>
    <x v="6"/>
    <x v="9"/>
    <n v="5.91"/>
    <s v="Store A"/>
    <x v="0"/>
    <n v="0.15"/>
    <x v="0"/>
    <n v="85.399500000000003"/>
    <x v="0"/>
    <s v="SAVE10"/>
    <n v="0"/>
    <s v="REG101253"/>
    <x v="1169"/>
    <n v="44.85"/>
    <x v="689"/>
    <d v="2025-01-13T00:00:00"/>
    <x v="2"/>
    <n v="100.47"/>
    <n v="15.070499999999999"/>
    <n v="85.399500000000003"/>
    <n v="8"/>
    <x v="927"/>
    <n v="0"/>
  </r>
  <r>
    <d v="2024-02-20T00:00:00"/>
    <x v="0"/>
    <x v="1"/>
    <x v="15"/>
    <n v="452.77"/>
    <s v="Store B"/>
    <x v="1"/>
    <n v="0"/>
    <x v="4"/>
    <n v="1811.08"/>
    <x v="3"/>
    <s v="SAVE10"/>
    <n v="0"/>
    <s v="REG101254"/>
    <x v="1170"/>
    <n v="32.01"/>
    <x v="5"/>
    <d v="2024-03-01T00:00:00"/>
    <x v="0"/>
    <n v="1811.08"/>
    <n v="0"/>
    <n v="1811.08"/>
    <n v="10"/>
    <x v="0"/>
    <n v="0"/>
  </r>
  <r>
    <d v="2023-12-26T00:00:00"/>
    <x v="2"/>
    <x v="4"/>
    <x v="4"/>
    <n v="157"/>
    <s v="Store A"/>
    <x v="0"/>
    <n v="0.15"/>
    <x v="1"/>
    <n v="934.15"/>
    <x v="0"/>
    <s v="SAVE10"/>
    <n v="1"/>
    <s v="REG101255"/>
    <x v="401"/>
    <n v="39.72"/>
    <x v="442"/>
    <d v="2024-01-04T00:00:00"/>
    <x v="2"/>
    <n v="1099"/>
    <n v="164.85"/>
    <n v="934.15"/>
    <n v="9"/>
    <x v="928"/>
    <n v="0"/>
  </r>
  <r>
    <d v="2023-03-07T00:00:00"/>
    <x v="2"/>
    <x v="6"/>
    <x v="10"/>
    <n v="550.86"/>
    <s v="Store C"/>
    <x v="1"/>
    <n v="0.1"/>
    <x v="5"/>
    <n v="5453.5140000000001"/>
    <x v="0"/>
    <s v="FREESHIP"/>
    <n v="0"/>
    <s v="REG101256"/>
    <x v="1171"/>
    <n v="21.82"/>
    <x v="334"/>
    <d v="2023-03-12T00:00:00"/>
    <x v="2"/>
    <n v="6059.46"/>
    <n v="605.94600000000003"/>
    <n v="5453.5140000000001"/>
    <n v="5"/>
    <x v="929"/>
    <n v="0"/>
  </r>
  <r>
    <d v="2024-09-13T00:00:00"/>
    <x v="2"/>
    <x v="3"/>
    <x v="6"/>
    <n v="172.65"/>
    <s v="Store C"/>
    <x v="0"/>
    <n v="0.15"/>
    <x v="1"/>
    <n v="733.76249999999993"/>
    <x v="4"/>
    <s v="SAVE10"/>
    <n v="0"/>
    <s v="REG101257"/>
    <x v="1172"/>
    <n v="28.3"/>
    <x v="277"/>
    <d v="2024-09-22T00:00:00"/>
    <x v="2"/>
    <n v="863.25"/>
    <n v="129.48749999999998"/>
    <n v="733.76250000000005"/>
    <n v="9"/>
    <x v="930"/>
    <n v="0"/>
  </r>
  <r>
    <d v="2024-01-02T00:00:00"/>
    <x v="0"/>
    <x v="5"/>
    <x v="18"/>
    <n v="145.30000000000001"/>
    <s v="Store B"/>
    <x v="0"/>
    <n v="0"/>
    <x v="0"/>
    <n v="2324.8000000000002"/>
    <x v="2"/>
    <s v="FREESHIP"/>
    <n v="1"/>
    <s v="REG101258"/>
    <x v="1173"/>
    <n v="29.64"/>
    <x v="78"/>
    <d v="2024-01-12T00:00:00"/>
    <x v="0"/>
    <n v="2324.8000000000002"/>
    <n v="0"/>
    <n v="2324.8000000000002"/>
    <n v="10"/>
    <x v="0"/>
    <n v="0"/>
  </r>
  <r>
    <d v="2025-02-08T00:00:00"/>
    <x v="1"/>
    <x v="6"/>
    <x v="12"/>
    <n v="67.38"/>
    <s v="Store C"/>
    <x v="1"/>
    <n v="0.1"/>
    <x v="4"/>
    <n v="606.41999999999996"/>
    <x v="1"/>
    <s v="FREESHIP"/>
    <n v="1"/>
    <s v="REG101259"/>
    <x v="40"/>
    <n v="20.58"/>
    <x v="658"/>
    <d v="2025-02-18T00:00:00"/>
    <x v="1"/>
    <n v="673.8"/>
    <n v="67.38"/>
    <n v="606.41999999999996"/>
    <n v="10"/>
    <x v="931"/>
    <n v="0"/>
  </r>
  <r>
    <d v="2025-03-04T00:00:00"/>
    <x v="1"/>
    <x v="6"/>
    <x v="7"/>
    <n v="141.13"/>
    <s v="Store D"/>
    <x v="0"/>
    <n v="0"/>
    <x v="3"/>
    <n v="2116.9499999999998"/>
    <x v="4"/>
    <s v="SAVE10"/>
    <n v="0"/>
    <s v="REG101260"/>
    <x v="1174"/>
    <n v="19.63"/>
    <x v="155"/>
    <d v="2025-03-12T00:00:00"/>
    <x v="1"/>
    <n v="2116.9499999999998"/>
    <n v="0"/>
    <n v="2116.9499999999998"/>
    <n v="8"/>
    <x v="0"/>
    <n v="0"/>
  </r>
  <r>
    <d v="2024-03-12T00:00:00"/>
    <x v="3"/>
    <x v="5"/>
    <x v="1"/>
    <n v="534.61"/>
    <s v="Store D"/>
    <x v="1"/>
    <n v="0.05"/>
    <x v="2"/>
    <n v="507.87950000000001"/>
    <x v="0"/>
    <s v="SAVE10"/>
    <n v="0"/>
    <s v="REG101261"/>
    <x v="1175"/>
    <n v="22.68"/>
    <x v="690"/>
    <d v="2024-03-21T00:00:00"/>
    <x v="3"/>
    <n v="534.61"/>
    <n v="26.730500000000003"/>
    <n v="507.87950000000001"/>
    <n v="9"/>
    <x v="932"/>
    <n v="0"/>
  </r>
  <r>
    <d v="2024-07-03T00:00:00"/>
    <x v="0"/>
    <x v="1"/>
    <x v="17"/>
    <n v="560.04"/>
    <s v="Store D"/>
    <x v="1"/>
    <n v="0.05"/>
    <x v="3"/>
    <n v="4788.3419999999996"/>
    <x v="1"/>
    <s v="WINTER15"/>
    <n v="0"/>
    <s v="REG101262"/>
    <x v="1176"/>
    <n v="22.81"/>
    <x v="691"/>
    <d v="2024-07-07T00:00:00"/>
    <x v="0"/>
    <n v="5040.3599999999997"/>
    <n v="252.018"/>
    <n v="4788.3419999999996"/>
    <n v="4"/>
    <x v="933"/>
    <n v="0"/>
  </r>
  <r>
    <d v="2025-01-05T00:00:00"/>
    <x v="2"/>
    <x v="0"/>
    <x v="19"/>
    <n v="275.32"/>
    <s v="Store D"/>
    <x v="1"/>
    <n v="0.1"/>
    <x v="4"/>
    <n v="1982.3040000000001"/>
    <x v="4"/>
    <s v="SAVE10"/>
    <n v="0"/>
    <s v="REG101263"/>
    <x v="1177"/>
    <n v="18.260000000000002"/>
    <x v="689"/>
    <d v="2025-01-13T00:00:00"/>
    <x v="2"/>
    <n v="2202.56"/>
    <n v="220.256"/>
    <n v="1982.3039999999999"/>
    <n v="8"/>
    <x v="934"/>
    <n v="0"/>
  </r>
  <r>
    <d v="2024-03-21T00:00:00"/>
    <x v="0"/>
    <x v="1"/>
    <x v="5"/>
    <n v="105.73"/>
    <s v="Store D"/>
    <x v="1"/>
    <n v="0.05"/>
    <x v="5"/>
    <n v="301.33049999999997"/>
    <x v="3"/>
    <s v="FREESHIP"/>
    <n v="1"/>
    <s v="REG101264"/>
    <x v="1178"/>
    <n v="12.12"/>
    <x v="58"/>
    <d v="2024-03-28T00:00:00"/>
    <x v="0"/>
    <n v="317.19"/>
    <n v="15.859500000000001"/>
    <n v="301.33049999999997"/>
    <n v="7"/>
    <x v="935"/>
    <n v="0"/>
  </r>
  <r>
    <d v="2025-03-28T00:00:00"/>
    <x v="3"/>
    <x v="4"/>
    <x v="7"/>
    <n v="568.80999999999995"/>
    <s v="Store D"/>
    <x v="1"/>
    <n v="0.1"/>
    <x v="2"/>
    <n v="7678.9349999999986"/>
    <x v="1"/>
    <m/>
    <n v="0"/>
    <s v="REG101265"/>
    <x v="1179"/>
    <n v="8.5399999999999991"/>
    <x v="136"/>
    <d v="2025-04-03T00:00:00"/>
    <x v="3"/>
    <n v="8532.15"/>
    <n v="853.21500000000003"/>
    <n v="7678.9349999999995"/>
    <n v="6"/>
    <x v="936"/>
    <n v="0"/>
  </r>
  <r>
    <d v="2025-04-13T00:00:00"/>
    <x v="3"/>
    <x v="0"/>
    <x v="11"/>
    <n v="190.39"/>
    <s v="Store B"/>
    <x v="1"/>
    <n v="0.1"/>
    <x v="5"/>
    <n v="3427.02"/>
    <x v="1"/>
    <s v="SAVE10"/>
    <n v="0"/>
    <s v="REG101266"/>
    <x v="1180"/>
    <n v="49.93"/>
    <x v="91"/>
    <d v="2025-04-18T00:00:00"/>
    <x v="3"/>
    <n v="3807.7999999999997"/>
    <n v="380.78"/>
    <n v="3427.0199999999995"/>
    <n v="5"/>
    <x v="937"/>
    <n v="0"/>
  </r>
  <r>
    <d v="2024-04-30T00:00:00"/>
    <x v="4"/>
    <x v="3"/>
    <x v="8"/>
    <n v="433.39"/>
    <s v="Store C"/>
    <x v="1"/>
    <n v="0.05"/>
    <x v="5"/>
    <n v="7822.6894999999986"/>
    <x v="0"/>
    <s v="WINTER15"/>
    <n v="0"/>
    <s v="REG101267"/>
    <x v="1181"/>
    <n v="7.59"/>
    <x v="401"/>
    <d v="2024-05-09T00:00:00"/>
    <x v="4"/>
    <n v="8234.41"/>
    <n v="411.72050000000002"/>
    <n v="7822.6894999999995"/>
    <n v="9"/>
    <x v="938"/>
    <n v="0"/>
  </r>
  <r>
    <d v="2025-02-15T00:00:00"/>
    <x v="1"/>
    <x v="1"/>
    <x v="1"/>
    <n v="92.72"/>
    <s v="Store C"/>
    <x v="0"/>
    <n v="0.15"/>
    <x v="0"/>
    <n v="78.811999999999998"/>
    <x v="3"/>
    <s v="WINTER15"/>
    <n v="0"/>
    <s v="REG101268"/>
    <x v="1182"/>
    <n v="48.46"/>
    <x v="664"/>
    <d v="2025-02-19T00:00:00"/>
    <x v="1"/>
    <n v="92.72"/>
    <n v="13.907999999999999"/>
    <n v="78.811999999999998"/>
    <n v="4"/>
    <x v="939"/>
    <n v="0"/>
  </r>
  <r>
    <d v="2025-02-18T00:00:00"/>
    <x v="4"/>
    <x v="0"/>
    <x v="1"/>
    <n v="263.27999999999997"/>
    <s v="Store D"/>
    <x v="0"/>
    <n v="0.1"/>
    <x v="0"/>
    <n v="236.952"/>
    <x v="2"/>
    <s v="SAVE10"/>
    <n v="0"/>
    <s v="REG101269"/>
    <x v="1183"/>
    <n v="36.28"/>
    <x v="616"/>
    <d v="2025-02-23T00:00:00"/>
    <x v="4"/>
    <n v="263.27999999999997"/>
    <n v="26.327999999999999"/>
    <n v="236.95199999999997"/>
    <n v="5"/>
    <x v="940"/>
    <n v="0"/>
  </r>
  <r>
    <d v="2023-09-08T00:00:00"/>
    <x v="4"/>
    <x v="1"/>
    <x v="10"/>
    <n v="358.59"/>
    <s v="Store B"/>
    <x v="0"/>
    <n v="0"/>
    <x v="2"/>
    <n v="3944.49"/>
    <x v="2"/>
    <m/>
    <n v="0"/>
    <s v="REG101270"/>
    <x v="1184"/>
    <n v="29.19"/>
    <x v="247"/>
    <d v="2023-09-10T00:00:00"/>
    <x v="4"/>
    <n v="3944.49"/>
    <n v="0"/>
    <n v="3944.49"/>
    <n v="2"/>
    <x v="0"/>
    <n v="0"/>
  </r>
  <r>
    <d v="2024-02-04T00:00:00"/>
    <x v="3"/>
    <x v="5"/>
    <x v="2"/>
    <n v="595.53"/>
    <s v="Store B"/>
    <x v="1"/>
    <n v="0"/>
    <x v="2"/>
    <n v="10719.54"/>
    <x v="4"/>
    <s v="WINTER15"/>
    <n v="0"/>
    <s v="REG101271"/>
    <x v="1185"/>
    <n v="42.91"/>
    <x v="692"/>
    <d v="2024-02-06T00:00:00"/>
    <x v="3"/>
    <n v="10719.539999999999"/>
    <n v="0"/>
    <n v="10719.539999999999"/>
    <n v="2"/>
    <x v="0"/>
    <n v="0"/>
  </r>
  <r>
    <d v="2024-11-25T00:00:00"/>
    <x v="2"/>
    <x v="4"/>
    <x v="0"/>
    <n v="574.32000000000005"/>
    <s v="Store D"/>
    <x v="0"/>
    <n v="0.15"/>
    <x v="4"/>
    <n v="6834.4080000000004"/>
    <x v="2"/>
    <s v="SAVE10"/>
    <n v="0"/>
    <s v="REG101272"/>
    <x v="1186"/>
    <n v="12.07"/>
    <x v="681"/>
    <d v="2024-12-05T00:00:00"/>
    <x v="2"/>
    <n v="8040.4800000000005"/>
    <n v="1206.0720000000001"/>
    <n v="6834.4080000000004"/>
    <n v="10"/>
    <x v="941"/>
    <n v="0"/>
  </r>
  <r>
    <d v="2024-12-30T00:00:00"/>
    <x v="2"/>
    <x v="0"/>
    <x v="2"/>
    <n v="444.13"/>
    <s v="Store D"/>
    <x v="1"/>
    <n v="0"/>
    <x v="2"/>
    <n v="7994.34"/>
    <x v="4"/>
    <s v="SAVE10"/>
    <n v="0"/>
    <s v="REG101273"/>
    <x v="1187"/>
    <n v="5.41"/>
    <x v="671"/>
    <d v="2025-01-02T00:00:00"/>
    <x v="2"/>
    <n v="7994.34"/>
    <n v="0"/>
    <n v="7994.34"/>
    <n v="3"/>
    <x v="0"/>
    <n v="0"/>
  </r>
  <r>
    <d v="2023-09-05T00:00:00"/>
    <x v="4"/>
    <x v="5"/>
    <x v="8"/>
    <n v="431.47"/>
    <s v="Store A"/>
    <x v="1"/>
    <n v="0.1"/>
    <x v="0"/>
    <n v="7378.1370000000006"/>
    <x v="1"/>
    <s v="WINTER15"/>
    <n v="0"/>
    <s v="REG101274"/>
    <x v="1188"/>
    <n v="49.23"/>
    <x v="569"/>
    <d v="2023-09-10T00:00:00"/>
    <x v="4"/>
    <n v="8197.93"/>
    <n v="819.79300000000012"/>
    <n v="7378.1370000000006"/>
    <n v="5"/>
    <x v="942"/>
    <n v="0"/>
  </r>
  <r>
    <d v="2023-08-01T00:00:00"/>
    <x v="4"/>
    <x v="6"/>
    <x v="8"/>
    <n v="67.489999999999995"/>
    <s v="Store C"/>
    <x v="1"/>
    <n v="0"/>
    <x v="2"/>
    <n v="1282.31"/>
    <x v="3"/>
    <s v="SAVE10"/>
    <n v="0"/>
    <s v="REG101275"/>
    <x v="1189"/>
    <n v="32.04"/>
    <x v="588"/>
    <d v="2023-08-11T00:00:00"/>
    <x v="4"/>
    <n v="1282.31"/>
    <n v="0"/>
    <n v="1282.31"/>
    <n v="10"/>
    <x v="0"/>
    <n v="0"/>
  </r>
  <r>
    <d v="2023-01-06T00:00:00"/>
    <x v="3"/>
    <x v="5"/>
    <x v="10"/>
    <n v="25.67"/>
    <s v="Store C"/>
    <x v="1"/>
    <n v="0.15"/>
    <x v="3"/>
    <n v="240.0145"/>
    <x v="2"/>
    <s v="SAVE10"/>
    <n v="0"/>
    <s v="REG101276"/>
    <x v="1190"/>
    <n v="30.12"/>
    <x v="463"/>
    <d v="2023-01-08T00:00:00"/>
    <x v="3"/>
    <n v="282.37"/>
    <n v="42.355499999999999"/>
    <n v="240.0145"/>
    <n v="2"/>
    <x v="943"/>
    <n v="0"/>
  </r>
  <r>
    <d v="2025-05-02T00:00:00"/>
    <x v="3"/>
    <x v="1"/>
    <x v="15"/>
    <n v="368.69"/>
    <s v="Store D"/>
    <x v="0"/>
    <n v="0"/>
    <x v="4"/>
    <n v="1474.76"/>
    <x v="1"/>
    <s v="WINTER15"/>
    <n v="0"/>
    <s v="REG101277"/>
    <x v="1191"/>
    <n v="48.57"/>
    <x v="693"/>
    <d v="2025-05-06T00:00:00"/>
    <x v="3"/>
    <n v="1474.76"/>
    <n v="0"/>
    <n v="1474.76"/>
    <n v="4"/>
    <x v="0"/>
    <n v="0"/>
  </r>
  <r>
    <d v="2023-12-21T00:00:00"/>
    <x v="4"/>
    <x v="4"/>
    <x v="4"/>
    <n v="257.01"/>
    <s v="Store D"/>
    <x v="1"/>
    <n v="0.05"/>
    <x v="0"/>
    <n v="1709.1165000000001"/>
    <x v="2"/>
    <m/>
    <n v="0"/>
    <s v="REG101278"/>
    <x v="1192"/>
    <n v="35.520000000000003"/>
    <x v="146"/>
    <d v="2023-12-28T00:00:00"/>
    <x v="4"/>
    <n v="1799.07"/>
    <n v="89.953500000000005"/>
    <n v="1709.1164999999999"/>
    <n v="7"/>
    <x v="944"/>
    <n v="0"/>
  </r>
  <r>
    <d v="2024-09-10T00:00:00"/>
    <x v="0"/>
    <x v="0"/>
    <x v="0"/>
    <n v="85.54"/>
    <s v="Store B"/>
    <x v="0"/>
    <n v="0"/>
    <x v="2"/>
    <n v="1197.56"/>
    <x v="1"/>
    <s v="FREESHIP"/>
    <n v="0"/>
    <s v="REG101279"/>
    <x v="1193"/>
    <n v="16.079999999999998"/>
    <x v="328"/>
    <d v="2024-09-14T00:00:00"/>
    <x v="0"/>
    <n v="1197.5600000000002"/>
    <n v="0"/>
    <n v="1197.5600000000002"/>
    <n v="4"/>
    <x v="0"/>
    <n v="0"/>
  </r>
  <r>
    <d v="2024-04-05T00:00:00"/>
    <x v="3"/>
    <x v="3"/>
    <x v="17"/>
    <n v="267.60000000000002"/>
    <s v="Store D"/>
    <x v="1"/>
    <n v="0.15"/>
    <x v="0"/>
    <n v="2047.14"/>
    <x v="2"/>
    <s v="FREESHIP"/>
    <n v="0"/>
    <s v="REG101280"/>
    <x v="1194"/>
    <n v="8.48"/>
    <x v="393"/>
    <d v="2024-04-10T00:00:00"/>
    <x v="3"/>
    <n v="2408.4"/>
    <n v="361.26"/>
    <n v="2047.14"/>
    <n v="5"/>
    <x v="945"/>
    <n v="0"/>
  </r>
  <r>
    <d v="2023-07-26T00:00:00"/>
    <x v="0"/>
    <x v="2"/>
    <x v="7"/>
    <n v="261.85000000000002"/>
    <s v="Store D"/>
    <x v="0"/>
    <n v="0.15"/>
    <x v="4"/>
    <n v="3338.5875000000001"/>
    <x v="0"/>
    <s v="SAVE10"/>
    <n v="0"/>
    <s v="REG101281"/>
    <x v="1195"/>
    <n v="40.68"/>
    <x v="238"/>
    <d v="2023-07-31T00:00:00"/>
    <x v="0"/>
    <n v="3927.7500000000005"/>
    <n v="589.16250000000002"/>
    <n v="3338.5875000000005"/>
    <n v="5"/>
    <x v="946"/>
    <n v="0"/>
  </r>
  <r>
    <d v="2023-11-12T00:00:00"/>
    <x v="0"/>
    <x v="6"/>
    <x v="10"/>
    <n v="199.57"/>
    <s v="Store A"/>
    <x v="1"/>
    <n v="0.05"/>
    <x v="5"/>
    <n v="2085.5065"/>
    <x v="3"/>
    <s v="SAVE10"/>
    <n v="0"/>
    <s v="REG101282"/>
    <x v="1174"/>
    <n v="48.94"/>
    <x v="694"/>
    <d v="2023-11-14T00:00:00"/>
    <x v="0"/>
    <n v="2195.27"/>
    <n v="109.76350000000001"/>
    <n v="2085.5065"/>
    <n v="2"/>
    <x v="947"/>
    <n v="0"/>
  </r>
  <r>
    <d v="2025-04-18T00:00:00"/>
    <x v="3"/>
    <x v="1"/>
    <x v="6"/>
    <n v="504.96"/>
    <s v="Store C"/>
    <x v="1"/>
    <n v="0.05"/>
    <x v="4"/>
    <n v="2398.559999999999"/>
    <x v="1"/>
    <s v="FREESHIP"/>
    <n v="0"/>
    <s v="REG101283"/>
    <x v="1196"/>
    <n v="22.12"/>
    <x v="308"/>
    <d v="2025-04-20T00:00:00"/>
    <x v="3"/>
    <n v="2524.7999999999997"/>
    <n v="126.24"/>
    <n v="2398.56"/>
    <n v="2"/>
    <x v="948"/>
    <n v="0"/>
  </r>
  <r>
    <d v="2023-08-12T00:00:00"/>
    <x v="1"/>
    <x v="3"/>
    <x v="19"/>
    <n v="28.34"/>
    <s v="Store C"/>
    <x v="0"/>
    <n v="0.05"/>
    <x v="1"/>
    <n v="215.38399999999999"/>
    <x v="4"/>
    <m/>
    <n v="1"/>
    <s v="REG101284"/>
    <x v="1197"/>
    <n v="23.19"/>
    <x v="181"/>
    <d v="2023-08-19T00:00:00"/>
    <x v="1"/>
    <n v="226.72"/>
    <n v="11.336"/>
    <n v="215.38399999999999"/>
    <n v="7"/>
    <x v="949"/>
    <n v="0"/>
  </r>
  <r>
    <d v="2024-12-12T00:00:00"/>
    <x v="4"/>
    <x v="6"/>
    <x v="9"/>
    <n v="495.13"/>
    <s v="Store D"/>
    <x v="0"/>
    <n v="0.1"/>
    <x v="1"/>
    <n v="7575.4889999999996"/>
    <x v="0"/>
    <s v="FREESHIP"/>
    <n v="1"/>
    <s v="REG101285"/>
    <x v="1198"/>
    <n v="26.37"/>
    <x v="621"/>
    <d v="2024-12-21T00:00:00"/>
    <x v="4"/>
    <n v="8417.2099999999991"/>
    <n v="841.721"/>
    <n v="7575.4889999999996"/>
    <n v="9"/>
    <x v="950"/>
    <n v="0"/>
  </r>
  <r>
    <d v="2025-05-07T00:00:00"/>
    <x v="4"/>
    <x v="1"/>
    <x v="0"/>
    <n v="142.05000000000001"/>
    <s v="Store D"/>
    <x v="1"/>
    <n v="0.05"/>
    <x v="2"/>
    <n v="1889.2650000000001"/>
    <x v="1"/>
    <s v="SAVE10"/>
    <n v="0"/>
    <s v="REG101286"/>
    <x v="1199"/>
    <n v="33.65"/>
    <x v="695"/>
    <d v="2025-05-13T00:00:00"/>
    <x v="4"/>
    <n v="1988.7000000000003"/>
    <n v="99.435000000000016"/>
    <n v="1889.2650000000003"/>
    <n v="6"/>
    <x v="951"/>
    <n v="0"/>
  </r>
  <r>
    <d v="2025-03-10T00:00:00"/>
    <x v="0"/>
    <x v="3"/>
    <x v="18"/>
    <n v="504.36"/>
    <s v="Store D"/>
    <x v="0"/>
    <n v="0"/>
    <x v="5"/>
    <n v="8069.76"/>
    <x v="3"/>
    <m/>
    <n v="1"/>
    <s v="REG101287"/>
    <x v="250"/>
    <n v="11.67"/>
    <x v="506"/>
    <d v="2025-03-13T00:00:00"/>
    <x v="0"/>
    <n v="8069.76"/>
    <n v="0"/>
    <n v="8069.76"/>
    <n v="3"/>
    <x v="0"/>
    <n v="0"/>
  </r>
  <r>
    <d v="2025-06-01T00:00:00"/>
    <x v="0"/>
    <x v="2"/>
    <x v="4"/>
    <n v="122.2"/>
    <s v="Store B"/>
    <x v="1"/>
    <n v="0"/>
    <x v="3"/>
    <n v="855.4"/>
    <x v="2"/>
    <m/>
    <n v="0"/>
    <s v="REG101288"/>
    <x v="1200"/>
    <n v="30.21"/>
    <x v="216"/>
    <d v="2025-06-10T00:00:00"/>
    <x v="0"/>
    <n v="855.4"/>
    <n v="0"/>
    <n v="855.4"/>
    <n v="9"/>
    <x v="0"/>
    <n v="0"/>
  </r>
  <r>
    <d v="2025-05-19T00:00:00"/>
    <x v="4"/>
    <x v="3"/>
    <x v="4"/>
    <n v="338.42"/>
    <s v="Store B"/>
    <x v="1"/>
    <n v="0.15"/>
    <x v="1"/>
    <n v="2013.5989999999999"/>
    <x v="0"/>
    <s v="FREESHIP"/>
    <n v="0"/>
    <s v="REG101289"/>
    <x v="1201"/>
    <n v="5.82"/>
    <x v="460"/>
    <d v="2025-05-21T00:00:00"/>
    <x v="4"/>
    <n v="2368.94"/>
    <n v="355.34100000000001"/>
    <n v="2013.5990000000002"/>
    <n v="2"/>
    <x v="952"/>
    <n v="0"/>
  </r>
  <r>
    <d v="2023-02-08T00:00:00"/>
    <x v="0"/>
    <x v="5"/>
    <x v="15"/>
    <n v="224.75"/>
    <s v="Store D"/>
    <x v="0"/>
    <n v="0"/>
    <x v="2"/>
    <n v="899"/>
    <x v="3"/>
    <m/>
    <n v="0"/>
    <s v="REG101290"/>
    <x v="1202"/>
    <n v="43.86"/>
    <x v="162"/>
    <d v="2023-02-16T00:00:00"/>
    <x v="0"/>
    <n v="899"/>
    <n v="0"/>
    <n v="899"/>
    <n v="8"/>
    <x v="0"/>
    <n v="0"/>
  </r>
  <r>
    <d v="2025-04-24T00:00:00"/>
    <x v="3"/>
    <x v="2"/>
    <x v="18"/>
    <n v="509.71"/>
    <s v="Store C"/>
    <x v="0"/>
    <n v="0.1"/>
    <x v="3"/>
    <n v="7339.8239999999996"/>
    <x v="4"/>
    <m/>
    <n v="0"/>
    <s v="REG101291"/>
    <x v="1203"/>
    <n v="41.78"/>
    <x v="696"/>
    <d v="2025-05-03T00:00:00"/>
    <x v="3"/>
    <n v="8155.36"/>
    <n v="815.53600000000006"/>
    <n v="7339.8239999999996"/>
    <n v="9"/>
    <x v="953"/>
    <n v="0"/>
  </r>
  <r>
    <d v="2024-09-01T00:00:00"/>
    <x v="2"/>
    <x v="5"/>
    <x v="0"/>
    <n v="297.56"/>
    <s v="Store B"/>
    <x v="0"/>
    <n v="0.1"/>
    <x v="4"/>
    <n v="3749.2559999999999"/>
    <x v="3"/>
    <s v="FREESHIP"/>
    <n v="0"/>
    <s v="REG101292"/>
    <x v="1204"/>
    <n v="31.44"/>
    <x v="404"/>
    <d v="2024-09-08T00:00:00"/>
    <x v="2"/>
    <n v="4165.84"/>
    <n v="416.58400000000006"/>
    <n v="3749.2560000000003"/>
    <n v="7"/>
    <x v="954"/>
    <n v="0"/>
  </r>
  <r>
    <d v="2024-11-07T00:00:00"/>
    <x v="3"/>
    <x v="6"/>
    <x v="14"/>
    <n v="365.11"/>
    <s v="Store C"/>
    <x v="1"/>
    <n v="0.05"/>
    <x v="4"/>
    <n v="4509.1085000000003"/>
    <x v="0"/>
    <m/>
    <n v="0"/>
    <s v="REG101293"/>
    <x v="1205"/>
    <n v="13.97"/>
    <x v="697"/>
    <d v="2024-11-13T00:00:00"/>
    <x v="3"/>
    <n v="4746.43"/>
    <n v="237.32150000000001"/>
    <n v="4509.1085000000003"/>
    <n v="6"/>
    <x v="955"/>
    <n v="0"/>
  </r>
  <r>
    <d v="2024-11-29T00:00:00"/>
    <x v="0"/>
    <x v="3"/>
    <x v="1"/>
    <n v="139.13"/>
    <s v="Store C"/>
    <x v="0"/>
    <n v="0"/>
    <x v="3"/>
    <n v="139.13"/>
    <x v="4"/>
    <m/>
    <n v="1"/>
    <s v="REG101294"/>
    <x v="1206"/>
    <n v="35.92"/>
    <x v="682"/>
    <d v="2024-12-02T00:00:00"/>
    <x v="0"/>
    <n v="139.13"/>
    <n v="0"/>
    <n v="139.13"/>
    <n v="3"/>
    <x v="0"/>
    <n v="0"/>
  </r>
  <r>
    <d v="2023-04-10T00:00:00"/>
    <x v="4"/>
    <x v="3"/>
    <x v="16"/>
    <n v="543.89"/>
    <s v="Store C"/>
    <x v="1"/>
    <n v="0"/>
    <x v="5"/>
    <n v="3263.34"/>
    <x v="4"/>
    <m/>
    <n v="1"/>
    <s v="REG101295"/>
    <x v="1207"/>
    <n v="13.19"/>
    <x v="154"/>
    <d v="2023-04-20T00:00:00"/>
    <x v="4"/>
    <n v="3263.34"/>
    <n v="0"/>
    <n v="3263.34"/>
    <n v="10"/>
    <x v="0"/>
    <n v="0"/>
  </r>
  <r>
    <d v="2024-01-10T00:00:00"/>
    <x v="2"/>
    <x v="6"/>
    <x v="8"/>
    <n v="219.7"/>
    <s v="Store A"/>
    <x v="1"/>
    <n v="0"/>
    <x v="1"/>
    <n v="4174.3"/>
    <x v="4"/>
    <s v="FREESHIP"/>
    <n v="0"/>
    <s v="REG101296"/>
    <x v="1208"/>
    <n v="15.38"/>
    <x v="560"/>
    <d v="2024-01-16T00:00:00"/>
    <x v="2"/>
    <n v="4174.3"/>
    <n v="0"/>
    <n v="4174.3"/>
    <n v="6"/>
    <x v="0"/>
    <n v="0"/>
  </r>
  <r>
    <d v="2025-05-17T00:00:00"/>
    <x v="1"/>
    <x v="1"/>
    <x v="16"/>
    <n v="94.34"/>
    <s v="Store C"/>
    <x v="1"/>
    <n v="0.05"/>
    <x v="1"/>
    <n v="537.73799999999994"/>
    <x v="4"/>
    <s v="WINTER15"/>
    <n v="1"/>
    <s v="REG101297"/>
    <x v="1209"/>
    <n v="49.26"/>
    <x v="347"/>
    <d v="2025-05-23T00:00:00"/>
    <x v="1"/>
    <n v="566.04"/>
    <n v="28.302"/>
    <n v="537.73799999999994"/>
    <n v="6"/>
    <x v="956"/>
    <n v="0"/>
  </r>
  <r>
    <d v="2024-07-26T00:00:00"/>
    <x v="3"/>
    <x v="0"/>
    <x v="17"/>
    <n v="486.58"/>
    <s v="Store A"/>
    <x v="1"/>
    <n v="0.15"/>
    <x v="1"/>
    <n v="3722.337"/>
    <x v="0"/>
    <s v="FREESHIP"/>
    <n v="0"/>
    <s v="REG101298"/>
    <x v="1210"/>
    <n v="38.72"/>
    <x v="698"/>
    <d v="2024-07-30T00:00:00"/>
    <x v="3"/>
    <n v="4379.22"/>
    <n v="656.88300000000004"/>
    <n v="3722.3370000000004"/>
    <n v="4"/>
    <x v="957"/>
    <n v="0"/>
  </r>
  <r>
    <d v="2024-12-26T00:00:00"/>
    <x v="1"/>
    <x v="2"/>
    <x v="13"/>
    <n v="578.86"/>
    <s v="Store D"/>
    <x v="1"/>
    <n v="0.15"/>
    <x v="2"/>
    <n v="5904.3719999999994"/>
    <x v="4"/>
    <s v="FREESHIP"/>
    <n v="0"/>
    <s v="REG101299"/>
    <x v="1211"/>
    <n v="25.84"/>
    <x v="215"/>
    <d v="2025-01-03T00:00:00"/>
    <x v="1"/>
    <n v="6946.32"/>
    <n v="1041.9479999999999"/>
    <n v="5904.3719999999994"/>
    <n v="8"/>
    <x v="958"/>
    <n v="0"/>
  </r>
  <r>
    <d v="2025-01-23T00:00:00"/>
    <x v="0"/>
    <x v="5"/>
    <x v="4"/>
    <n v="196.88"/>
    <s v="Store C"/>
    <x v="1"/>
    <n v="0"/>
    <x v="4"/>
    <n v="1378.16"/>
    <x v="3"/>
    <s v="SAVE10"/>
    <n v="0"/>
    <s v="REG101300"/>
    <x v="519"/>
    <n v="44.92"/>
    <x v="187"/>
    <d v="2025-01-31T00:00:00"/>
    <x v="0"/>
    <n v="1378.1599999999999"/>
    <n v="0"/>
    <n v="1378.1599999999999"/>
    <n v="8"/>
    <x v="0"/>
    <n v="0"/>
  </r>
  <r>
    <d v="2024-03-25T00:00:00"/>
    <x v="1"/>
    <x v="1"/>
    <x v="4"/>
    <n v="446.32"/>
    <s v="Store B"/>
    <x v="0"/>
    <n v="0.1"/>
    <x v="1"/>
    <n v="2811.8159999999998"/>
    <x v="3"/>
    <m/>
    <n v="0"/>
    <s v="REG101301"/>
    <x v="1212"/>
    <n v="47.23"/>
    <x v="699"/>
    <d v="2024-04-01T00:00:00"/>
    <x v="1"/>
    <n v="3124.24"/>
    <n v="312.42399999999998"/>
    <n v="2811.8159999999998"/>
    <n v="7"/>
    <x v="959"/>
    <n v="0"/>
  </r>
  <r>
    <d v="2025-03-04T00:00:00"/>
    <x v="3"/>
    <x v="5"/>
    <x v="10"/>
    <n v="447.38"/>
    <s v="Store D"/>
    <x v="0"/>
    <n v="0"/>
    <x v="1"/>
    <n v="4921.18"/>
    <x v="1"/>
    <s v="SAVE10"/>
    <n v="0"/>
    <s v="REG101302"/>
    <x v="551"/>
    <n v="36.72"/>
    <x v="155"/>
    <d v="2025-03-11T00:00:00"/>
    <x v="3"/>
    <n v="4921.18"/>
    <n v="0"/>
    <n v="4921.18"/>
    <n v="7"/>
    <x v="0"/>
    <n v="0"/>
  </r>
  <r>
    <d v="2023-10-20T00:00:00"/>
    <x v="1"/>
    <x v="2"/>
    <x v="0"/>
    <n v="275.33999999999997"/>
    <s v="Store B"/>
    <x v="1"/>
    <n v="0.1"/>
    <x v="3"/>
    <n v="3469.2840000000001"/>
    <x v="0"/>
    <m/>
    <n v="1"/>
    <s v="REG101303"/>
    <x v="1213"/>
    <n v="32.799999999999997"/>
    <x v="700"/>
    <d v="2023-10-24T00:00:00"/>
    <x v="1"/>
    <n v="3854.7599999999998"/>
    <n v="385.476"/>
    <n v="3469.2839999999997"/>
    <n v="4"/>
    <x v="960"/>
    <n v="0"/>
  </r>
  <r>
    <d v="2024-09-19T00:00:00"/>
    <x v="3"/>
    <x v="2"/>
    <x v="3"/>
    <n v="27.64"/>
    <s v="Store B"/>
    <x v="1"/>
    <n v="0.15"/>
    <x v="2"/>
    <n v="46.988"/>
    <x v="2"/>
    <s v="FREESHIP"/>
    <n v="0"/>
    <s v="REG101304"/>
    <x v="1214"/>
    <n v="21.73"/>
    <x v="701"/>
    <d v="2024-09-28T00:00:00"/>
    <x v="3"/>
    <n v="55.28"/>
    <n v="8.2919999999999998"/>
    <n v="46.988"/>
    <n v="9"/>
    <x v="961"/>
    <n v="0"/>
  </r>
  <r>
    <d v="2023-09-23T00:00:00"/>
    <x v="2"/>
    <x v="4"/>
    <x v="9"/>
    <n v="439.3"/>
    <s v="Store B"/>
    <x v="1"/>
    <n v="0"/>
    <x v="2"/>
    <n v="7468.1"/>
    <x v="0"/>
    <s v="FREESHIP"/>
    <n v="0"/>
    <s v="REG101305"/>
    <x v="1215"/>
    <n v="12.87"/>
    <x v="584"/>
    <d v="2023-09-26T00:00:00"/>
    <x v="2"/>
    <n v="7468.1"/>
    <n v="0"/>
    <n v="7468.1"/>
    <n v="3"/>
    <x v="0"/>
    <n v="0"/>
  </r>
  <r>
    <d v="2024-12-31T00:00:00"/>
    <x v="0"/>
    <x v="6"/>
    <x v="7"/>
    <n v="573.80999999999995"/>
    <s v="Store C"/>
    <x v="1"/>
    <n v="0"/>
    <x v="1"/>
    <n v="8607.15"/>
    <x v="1"/>
    <s v="SAVE10"/>
    <n v="0"/>
    <s v="REG101306"/>
    <x v="618"/>
    <n v="35.869999999999997"/>
    <x v="702"/>
    <d v="2025-01-02T00:00:00"/>
    <x v="0"/>
    <n v="8607.15"/>
    <n v="0"/>
    <n v="8607.15"/>
    <n v="2"/>
    <x v="0"/>
    <n v="0"/>
  </r>
  <r>
    <d v="2024-01-23T00:00:00"/>
    <x v="2"/>
    <x v="2"/>
    <x v="8"/>
    <n v="360.06"/>
    <s v="Store C"/>
    <x v="0"/>
    <n v="0.05"/>
    <x v="0"/>
    <n v="6499.0829999999996"/>
    <x v="3"/>
    <s v="FREESHIP"/>
    <n v="0"/>
    <s v="REG101307"/>
    <x v="880"/>
    <n v="33.19"/>
    <x v="145"/>
    <d v="2024-01-31T00:00:00"/>
    <x v="2"/>
    <n v="6841.14"/>
    <n v="342.05700000000002"/>
    <n v="6499.0830000000005"/>
    <n v="8"/>
    <x v="962"/>
    <n v="0"/>
  </r>
  <r>
    <d v="2023-06-13T00:00:00"/>
    <x v="0"/>
    <x v="0"/>
    <x v="4"/>
    <n v="535.20000000000005"/>
    <s v="Store C"/>
    <x v="1"/>
    <n v="0.1"/>
    <x v="2"/>
    <n v="3371.7600000000011"/>
    <x v="3"/>
    <m/>
    <n v="0"/>
    <s v="REG101308"/>
    <x v="1216"/>
    <n v="10.44"/>
    <x v="343"/>
    <d v="2023-06-23T00:00:00"/>
    <x v="0"/>
    <n v="3746.4000000000005"/>
    <n v="374.6400000000001"/>
    <n v="3371.76"/>
    <n v="10"/>
    <x v="963"/>
    <n v="0"/>
  </r>
  <r>
    <d v="2023-07-01T00:00:00"/>
    <x v="0"/>
    <x v="3"/>
    <x v="8"/>
    <n v="161.13"/>
    <s v="Store A"/>
    <x v="0"/>
    <n v="0"/>
    <x v="4"/>
    <n v="3061.47"/>
    <x v="2"/>
    <s v="FREESHIP"/>
    <n v="0"/>
    <s v="REG101309"/>
    <x v="1217"/>
    <n v="5.46"/>
    <x v="430"/>
    <d v="2023-07-06T00:00:00"/>
    <x v="0"/>
    <n v="3061.47"/>
    <n v="0"/>
    <n v="3061.47"/>
    <n v="5"/>
    <x v="0"/>
    <n v="0"/>
  </r>
  <r>
    <d v="2025-03-22T00:00:00"/>
    <x v="1"/>
    <x v="0"/>
    <x v="10"/>
    <n v="29.6"/>
    <s v="Store D"/>
    <x v="1"/>
    <n v="0.15"/>
    <x v="3"/>
    <n v="276.76"/>
    <x v="4"/>
    <s v="FREESHIP"/>
    <n v="1"/>
    <s v="REG101310"/>
    <x v="1218"/>
    <n v="34.96"/>
    <x v="61"/>
    <d v="2025-03-25T00:00:00"/>
    <x v="1"/>
    <n v="325.60000000000002"/>
    <n v="48.84"/>
    <n v="276.76"/>
    <n v="3"/>
    <x v="964"/>
    <n v="0"/>
  </r>
  <r>
    <d v="2025-02-07T00:00:00"/>
    <x v="1"/>
    <x v="0"/>
    <x v="18"/>
    <n v="172.89"/>
    <s v="Store B"/>
    <x v="0"/>
    <n v="0.15"/>
    <x v="4"/>
    <n v="2351.3040000000001"/>
    <x v="2"/>
    <s v="FREESHIP"/>
    <n v="1"/>
    <s v="REG101311"/>
    <x v="1219"/>
    <n v="41.87"/>
    <x v="439"/>
    <d v="2025-02-15T00:00:00"/>
    <x v="1"/>
    <n v="2766.24"/>
    <n v="414.93599999999998"/>
    <n v="2351.3039999999996"/>
    <n v="8"/>
    <x v="965"/>
    <n v="0"/>
  </r>
  <r>
    <d v="2023-10-18T00:00:00"/>
    <x v="2"/>
    <x v="1"/>
    <x v="6"/>
    <n v="48.06"/>
    <s v="Store A"/>
    <x v="0"/>
    <n v="0"/>
    <x v="1"/>
    <n v="240.3"/>
    <x v="1"/>
    <s v="FREESHIP"/>
    <n v="0"/>
    <s v="REG101312"/>
    <x v="1220"/>
    <n v="19.170000000000002"/>
    <x v="90"/>
    <d v="2023-10-26T00:00:00"/>
    <x v="2"/>
    <n v="240.3"/>
    <n v="0"/>
    <n v="240.3"/>
    <n v="8"/>
    <x v="0"/>
    <n v="0"/>
  </r>
  <r>
    <d v="2024-01-02T00:00:00"/>
    <x v="3"/>
    <x v="2"/>
    <x v="4"/>
    <n v="55.76"/>
    <s v="Store C"/>
    <x v="0"/>
    <n v="0.1"/>
    <x v="1"/>
    <n v="351.28800000000001"/>
    <x v="0"/>
    <m/>
    <n v="0"/>
    <s v="REG101313"/>
    <x v="1221"/>
    <n v="38.979999999999997"/>
    <x v="78"/>
    <d v="2024-01-11T00:00:00"/>
    <x v="3"/>
    <n v="390.32"/>
    <n v="39.032000000000004"/>
    <n v="351.28800000000001"/>
    <n v="9"/>
    <x v="966"/>
    <n v="0"/>
  </r>
  <r>
    <d v="2025-03-08T00:00:00"/>
    <x v="1"/>
    <x v="0"/>
    <x v="15"/>
    <n v="24.58"/>
    <s v="Store B"/>
    <x v="0"/>
    <n v="0.15"/>
    <x v="3"/>
    <n v="83.571999999999989"/>
    <x v="3"/>
    <s v="WINTER15"/>
    <n v="0"/>
    <s v="REG101314"/>
    <x v="1222"/>
    <n v="39.869999999999997"/>
    <x v="251"/>
    <d v="2025-03-17T00:00:00"/>
    <x v="1"/>
    <n v="98.32"/>
    <n v="14.747999999999998"/>
    <n v="83.572000000000003"/>
    <n v="9"/>
    <x v="967"/>
    <n v="0"/>
  </r>
  <r>
    <d v="2023-07-03T00:00:00"/>
    <x v="4"/>
    <x v="2"/>
    <x v="3"/>
    <n v="504.82"/>
    <s v="Store D"/>
    <x v="1"/>
    <n v="0"/>
    <x v="3"/>
    <n v="1009.64"/>
    <x v="3"/>
    <s v="FREESHIP"/>
    <n v="0"/>
    <s v="REG101315"/>
    <x v="1223"/>
    <n v="25.54"/>
    <x v="318"/>
    <d v="2023-07-08T00:00:00"/>
    <x v="4"/>
    <n v="1009.64"/>
    <n v="0"/>
    <n v="1009.64"/>
    <n v="5"/>
    <x v="0"/>
    <n v="0"/>
  </r>
  <r>
    <d v="2023-11-15T00:00:00"/>
    <x v="2"/>
    <x v="5"/>
    <x v="9"/>
    <n v="275.89"/>
    <s v="Store B"/>
    <x v="0"/>
    <n v="0.1"/>
    <x v="5"/>
    <n v="4221.1170000000002"/>
    <x v="1"/>
    <s v="FREESHIP"/>
    <n v="0"/>
    <s v="REG101316"/>
    <x v="1224"/>
    <n v="15.43"/>
    <x v="703"/>
    <d v="2023-11-22T00:00:00"/>
    <x v="2"/>
    <n v="4690.13"/>
    <n v="469.01300000000003"/>
    <n v="4221.1170000000002"/>
    <n v="7"/>
    <x v="968"/>
    <n v="0"/>
  </r>
  <r>
    <d v="2024-02-10T00:00:00"/>
    <x v="4"/>
    <x v="2"/>
    <x v="17"/>
    <n v="130.57"/>
    <s v="Store C"/>
    <x v="0"/>
    <n v="0.1"/>
    <x v="0"/>
    <n v="1057.617"/>
    <x v="4"/>
    <s v="WINTER15"/>
    <n v="0"/>
    <s v="REG101317"/>
    <x v="1225"/>
    <n v="37.14"/>
    <x v="672"/>
    <d v="2024-02-17T00:00:00"/>
    <x v="4"/>
    <n v="1175.1299999999999"/>
    <n v="117.51299999999999"/>
    <n v="1057.617"/>
    <n v="7"/>
    <x v="969"/>
    <n v="0"/>
  </r>
  <r>
    <d v="2025-04-09T00:00:00"/>
    <x v="4"/>
    <x v="4"/>
    <x v="13"/>
    <n v="312.72000000000003"/>
    <s v="Store C"/>
    <x v="1"/>
    <n v="0"/>
    <x v="0"/>
    <n v="3752.64"/>
    <x v="1"/>
    <m/>
    <n v="0"/>
    <s v="REG101318"/>
    <x v="468"/>
    <n v="18.46"/>
    <x v="320"/>
    <d v="2025-04-19T00:00:00"/>
    <x v="4"/>
    <n v="3752.6400000000003"/>
    <n v="0"/>
    <n v="3752.6400000000003"/>
    <n v="10"/>
    <x v="0"/>
    <n v="0"/>
  </r>
  <r>
    <d v="2023-09-09T00:00:00"/>
    <x v="4"/>
    <x v="5"/>
    <x v="2"/>
    <n v="222.66"/>
    <s v="Store C"/>
    <x v="0"/>
    <n v="0.05"/>
    <x v="1"/>
    <n v="3807.4859999999999"/>
    <x v="1"/>
    <s v="SAVE10"/>
    <n v="0"/>
    <s v="REG101319"/>
    <x v="1226"/>
    <n v="12.91"/>
    <x v="507"/>
    <d v="2023-09-12T00:00:00"/>
    <x v="4"/>
    <n v="4007.88"/>
    <n v="200.39400000000001"/>
    <n v="3807.4859999999999"/>
    <n v="3"/>
    <x v="970"/>
    <n v="0"/>
  </r>
  <r>
    <d v="2023-03-19T00:00:00"/>
    <x v="0"/>
    <x v="1"/>
    <x v="14"/>
    <n v="374.05"/>
    <s v="Store D"/>
    <x v="0"/>
    <n v="0.05"/>
    <x v="4"/>
    <n v="4619.5174999999999"/>
    <x v="3"/>
    <s v="FREESHIP"/>
    <n v="0"/>
    <s v="REG101320"/>
    <x v="1227"/>
    <n v="26.32"/>
    <x v="127"/>
    <d v="2023-03-26T00:00:00"/>
    <x v="0"/>
    <n v="4862.6500000000005"/>
    <n v="243.13250000000005"/>
    <n v="4619.5175000000008"/>
    <n v="7"/>
    <x v="971"/>
    <n v="0"/>
  </r>
  <r>
    <d v="2024-12-31T00:00:00"/>
    <x v="3"/>
    <x v="6"/>
    <x v="10"/>
    <n v="331.29"/>
    <s v="Store B"/>
    <x v="0"/>
    <n v="0.1"/>
    <x v="1"/>
    <n v="3279.7710000000002"/>
    <x v="2"/>
    <s v="WINTER15"/>
    <n v="0"/>
    <s v="REG101321"/>
    <x v="903"/>
    <n v="6.22"/>
    <x v="702"/>
    <d v="2025-01-02T00:00:00"/>
    <x v="3"/>
    <n v="3644.19"/>
    <n v="364.41900000000004"/>
    <n v="3279.7710000000002"/>
    <n v="2"/>
    <x v="972"/>
    <n v="0"/>
  </r>
  <r>
    <d v="2023-11-24T00:00:00"/>
    <x v="3"/>
    <x v="1"/>
    <x v="6"/>
    <n v="533.52"/>
    <s v="Store D"/>
    <x v="0"/>
    <n v="0"/>
    <x v="3"/>
    <n v="2667.6"/>
    <x v="2"/>
    <s v="FREESHIP"/>
    <n v="1"/>
    <s v="REG101322"/>
    <x v="1228"/>
    <n v="9.08"/>
    <x v="704"/>
    <d v="2023-11-26T00:00:00"/>
    <x v="3"/>
    <n v="2667.6"/>
    <n v="0"/>
    <n v="2667.6"/>
    <n v="2"/>
    <x v="0"/>
    <n v="0"/>
  </r>
  <r>
    <d v="2025-05-15T00:00:00"/>
    <x v="0"/>
    <x v="3"/>
    <x v="12"/>
    <n v="492.24"/>
    <s v="Store A"/>
    <x v="1"/>
    <n v="0"/>
    <x v="1"/>
    <n v="4922.3999999999996"/>
    <x v="1"/>
    <s v="WINTER15"/>
    <n v="0"/>
    <s v="REG101323"/>
    <x v="1229"/>
    <n v="38.89"/>
    <x v="705"/>
    <d v="2025-05-22T00:00:00"/>
    <x v="0"/>
    <n v="4922.3999999999996"/>
    <n v="0"/>
    <n v="4922.3999999999996"/>
    <n v="7"/>
    <x v="0"/>
    <n v="0"/>
  </r>
  <r>
    <d v="2025-04-06T00:00:00"/>
    <x v="1"/>
    <x v="5"/>
    <x v="17"/>
    <n v="543.57000000000005"/>
    <s v="Store D"/>
    <x v="1"/>
    <n v="0.15"/>
    <x v="4"/>
    <n v="4158.3104999999996"/>
    <x v="3"/>
    <s v="SAVE10"/>
    <n v="0"/>
    <s v="REG101324"/>
    <x v="1230"/>
    <n v="7.54"/>
    <x v="575"/>
    <d v="2025-04-11T00:00:00"/>
    <x v="1"/>
    <n v="4892.13"/>
    <n v="733.81949999999995"/>
    <n v="4158.3105000000005"/>
    <n v="5"/>
    <x v="973"/>
    <n v="0"/>
  </r>
  <r>
    <d v="2024-02-06T00:00:00"/>
    <x v="1"/>
    <x v="2"/>
    <x v="9"/>
    <n v="141.76"/>
    <s v="Store D"/>
    <x v="0"/>
    <n v="0.1"/>
    <x v="5"/>
    <n v="2168.9279999999999"/>
    <x v="4"/>
    <s v="WINTER15"/>
    <n v="1"/>
    <s v="REG101325"/>
    <x v="1231"/>
    <n v="9.98"/>
    <x v="706"/>
    <d v="2024-02-14T00:00:00"/>
    <x v="1"/>
    <n v="2409.92"/>
    <n v="240.99200000000002"/>
    <n v="2168.9279999999999"/>
    <n v="8"/>
    <x v="974"/>
    <n v="0"/>
  </r>
  <r>
    <d v="2025-05-14T00:00:00"/>
    <x v="2"/>
    <x v="0"/>
    <x v="13"/>
    <n v="502.7"/>
    <s v="Store D"/>
    <x v="0"/>
    <n v="0.1"/>
    <x v="1"/>
    <n v="5429.16"/>
    <x v="2"/>
    <s v="FREESHIP"/>
    <n v="0"/>
    <s v="REG101326"/>
    <x v="1232"/>
    <n v="6.49"/>
    <x v="707"/>
    <d v="2025-05-20T00:00:00"/>
    <x v="2"/>
    <n v="6032.4"/>
    <n v="603.24"/>
    <n v="5429.16"/>
    <n v="6"/>
    <x v="975"/>
    <n v="0"/>
  </r>
  <r>
    <d v="2023-01-13T00:00:00"/>
    <x v="0"/>
    <x v="5"/>
    <x v="12"/>
    <n v="155.43"/>
    <s v="Store D"/>
    <x v="0"/>
    <n v="0.05"/>
    <x v="2"/>
    <n v="1476.585"/>
    <x v="1"/>
    <s v="WINTER15"/>
    <n v="0"/>
    <s v="REG101327"/>
    <x v="1233"/>
    <n v="26.49"/>
    <x v="322"/>
    <d v="2023-01-18T00:00:00"/>
    <x v="0"/>
    <n v="1554.3000000000002"/>
    <n v="77.715000000000018"/>
    <n v="1476.5850000000003"/>
    <n v="5"/>
    <x v="976"/>
    <n v="0"/>
  </r>
  <r>
    <d v="2024-02-19T00:00:00"/>
    <x v="2"/>
    <x v="5"/>
    <x v="2"/>
    <n v="203.73"/>
    <s v="Store B"/>
    <x v="0"/>
    <n v="0"/>
    <x v="3"/>
    <n v="3667.14"/>
    <x v="1"/>
    <s v="SAVE10"/>
    <n v="1"/>
    <s v="REG101328"/>
    <x v="1234"/>
    <n v="24.98"/>
    <x v="708"/>
    <d v="2024-02-28T00:00:00"/>
    <x v="2"/>
    <n v="3667.14"/>
    <n v="0"/>
    <n v="3667.14"/>
    <n v="9"/>
    <x v="0"/>
    <n v="0"/>
  </r>
  <r>
    <d v="2023-10-07T00:00:00"/>
    <x v="1"/>
    <x v="1"/>
    <x v="5"/>
    <n v="464.11"/>
    <s v="Store B"/>
    <x v="0"/>
    <n v="0.15"/>
    <x v="1"/>
    <n v="1183.4804999999999"/>
    <x v="1"/>
    <m/>
    <n v="0"/>
    <s v="REG101329"/>
    <x v="1235"/>
    <n v="27.45"/>
    <x v="444"/>
    <d v="2023-10-12T00:00:00"/>
    <x v="1"/>
    <n v="1392.33"/>
    <n v="208.84949999999998"/>
    <n v="1183.4804999999999"/>
    <n v="5"/>
    <x v="977"/>
    <n v="0"/>
  </r>
  <r>
    <d v="2024-09-17T00:00:00"/>
    <x v="3"/>
    <x v="3"/>
    <x v="3"/>
    <n v="442.03"/>
    <s v="Store B"/>
    <x v="1"/>
    <n v="0.15"/>
    <x v="3"/>
    <n v="751.45099999999991"/>
    <x v="3"/>
    <s v="WINTER15"/>
    <n v="0"/>
    <s v="REG101330"/>
    <x v="1236"/>
    <n v="28.71"/>
    <x v="457"/>
    <d v="2024-09-19T00:00:00"/>
    <x v="3"/>
    <n v="884.06"/>
    <n v="132.60899999999998"/>
    <n v="751.45100000000002"/>
    <n v="2"/>
    <x v="978"/>
    <n v="0"/>
  </r>
  <r>
    <d v="2023-05-07T00:00:00"/>
    <x v="2"/>
    <x v="1"/>
    <x v="4"/>
    <n v="82.91"/>
    <s v="Store A"/>
    <x v="1"/>
    <n v="0.05"/>
    <x v="0"/>
    <n v="551.35149999999999"/>
    <x v="3"/>
    <s v="WINTER15"/>
    <n v="1"/>
    <s v="REG101331"/>
    <x v="1237"/>
    <n v="17.03"/>
    <x v="709"/>
    <d v="2023-05-17T00:00:00"/>
    <x v="2"/>
    <n v="580.37"/>
    <n v="29.018500000000003"/>
    <n v="551.35149999999999"/>
    <n v="10"/>
    <x v="979"/>
    <n v="0"/>
  </r>
  <r>
    <d v="2023-12-12T00:00:00"/>
    <x v="2"/>
    <x v="1"/>
    <x v="14"/>
    <n v="468.16"/>
    <s v="Store B"/>
    <x v="1"/>
    <n v="0.15"/>
    <x v="1"/>
    <n v="5173.1679999999997"/>
    <x v="4"/>
    <s v="SAVE10"/>
    <n v="0"/>
    <s v="REG101332"/>
    <x v="159"/>
    <n v="29.11"/>
    <x v="289"/>
    <d v="2023-12-21T00:00:00"/>
    <x v="2"/>
    <n v="6086.08"/>
    <n v="912.91199999999992"/>
    <n v="5173.1679999999997"/>
    <n v="9"/>
    <x v="980"/>
    <n v="0"/>
  </r>
  <r>
    <d v="2025-03-11T00:00:00"/>
    <x v="3"/>
    <x v="5"/>
    <x v="5"/>
    <n v="11.32"/>
    <s v="Store C"/>
    <x v="1"/>
    <n v="0.05"/>
    <x v="0"/>
    <n v="32.262"/>
    <x v="0"/>
    <s v="WINTER15"/>
    <n v="0"/>
    <s v="REG101333"/>
    <x v="1001"/>
    <n v="16.39"/>
    <x v="402"/>
    <d v="2025-03-14T00:00:00"/>
    <x v="3"/>
    <n v="33.96"/>
    <n v="1.6980000000000002"/>
    <n v="32.262"/>
    <n v="3"/>
    <x v="981"/>
    <n v="0"/>
  </r>
  <r>
    <d v="2024-03-29T00:00:00"/>
    <x v="0"/>
    <x v="3"/>
    <x v="1"/>
    <n v="378.36"/>
    <s v="Store A"/>
    <x v="1"/>
    <n v="0.05"/>
    <x v="0"/>
    <n v="359.44200000000001"/>
    <x v="4"/>
    <m/>
    <n v="0"/>
    <s v="REG101334"/>
    <x v="1229"/>
    <n v="7.59"/>
    <x v="604"/>
    <d v="2024-04-07T00:00:00"/>
    <x v="0"/>
    <n v="378.36"/>
    <n v="18.918000000000003"/>
    <n v="359.44200000000001"/>
    <n v="9"/>
    <x v="982"/>
    <n v="0"/>
  </r>
  <r>
    <d v="2024-07-28T00:00:00"/>
    <x v="4"/>
    <x v="5"/>
    <x v="16"/>
    <n v="61.06"/>
    <s v="Store D"/>
    <x v="0"/>
    <n v="0"/>
    <x v="5"/>
    <n v="366.36"/>
    <x v="3"/>
    <s v="SAVE10"/>
    <n v="1"/>
    <s v="REG101335"/>
    <x v="1238"/>
    <n v="49.09"/>
    <x v="710"/>
    <d v="2024-08-05T00:00:00"/>
    <x v="4"/>
    <n v="366.36"/>
    <n v="0"/>
    <n v="366.36"/>
    <n v="8"/>
    <x v="0"/>
    <n v="0"/>
  </r>
  <r>
    <d v="2024-07-11T00:00:00"/>
    <x v="1"/>
    <x v="5"/>
    <x v="0"/>
    <n v="98.06"/>
    <s v="Store A"/>
    <x v="0"/>
    <n v="0.1"/>
    <x v="1"/>
    <n v="1235.556"/>
    <x v="3"/>
    <s v="SAVE10"/>
    <n v="1"/>
    <s v="REG101336"/>
    <x v="1239"/>
    <n v="10.34"/>
    <x v="156"/>
    <d v="2024-07-21T00:00:00"/>
    <x v="1"/>
    <n v="1372.8400000000001"/>
    <n v="137.28400000000002"/>
    <n v="1235.556"/>
    <n v="10"/>
    <x v="983"/>
    <n v="0"/>
  </r>
  <r>
    <d v="2024-07-05T00:00:00"/>
    <x v="4"/>
    <x v="0"/>
    <x v="18"/>
    <n v="123.86"/>
    <s v="Store A"/>
    <x v="0"/>
    <n v="0.15"/>
    <x v="1"/>
    <n v="1684.4960000000001"/>
    <x v="1"/>
    <m/>
    <n v="1"/>
    <s v="REG101337"/>
    <x v="1240"/>
    <n v="18.02"/>
    <x v="711"/>
    <d v="2024-07-14T00:00:00"/>
    <x v="4"/>
    <n v="1981.76"/>
    <n v="297.26400000000001"/>
    <n v="1684.4960000000001"/>
    <n v="9"/>
    <x v="984"/>
    <n v="0"/>
  </r>
  <r>
    <d v="2024-03-19T00:00:00"/>
    <x v="0"/>
    <x v="0"/>
    <x v="18"/>
    <n v="90.3"/>
    <s v="Store C"/>
    <x v="0"/>
    <n v="0.05"/>
    <x v="4"/>
    <n v="1372.56"/>
    <x v="0"/>
    <s v="WINTER15"/>
    <n v="0"/>
    <s v="REG101338"/>
    <x v="1241"/>
    <n v="25.25"/>
    <x v="422"/>
    <d v="2024-03-24T00:00:00"/>
    <x v="0"/>
    <n v="1444.8"/>
    <n v="72.239999999999995"/>
    <n v="1372.56"/>
    <n v="5"/>
    <x v="985"/>
    <n v="0"/>
  </r>
  <r>
    <d v="2023-12-25T00:00:00"/>
    <x v="3"/>
    <x v="5"/>
    <x v="2"/>
    <n v="470.91"/>
    <s v="Store C"/>
    <x v="0"/>
    <n v="0.1"/>
    <x v="0"/>
    <n v="7628.7420000000011"/>
    <x v="1"/>
    <s v="FREESHIP"/>
    <n v="0"/>
    <s v="REG101339"/>
    <x v="1242"/>
    <n v="14.87"/>
    <x v="486"/>
    <d v="2023-12-29T00:00:00"/>
    <x v="3"/>
    <n v="8476.380000000001"/>
    <n v="847.63800000000015"/>
    <n v="7628.7420000000011"/>
    <n v="4"/>
    <x v="986"/>
    <n v="0"/>
  </r>
  <r>
    <d v="2024-12-03T00:00:00"/>
    <x v="1"/>
    <x v="4"/>
    <x v="13"/>
    <n v="383.45"/>
    <s v="Store C"/>
    <x v="1"/>
    <n v="0"/>
    <x v="5"/>
    <n v="4601.3999999999996"/>
    <x v="3"/>
    <s v="FREESHIP"/>
    <n v="0"/>
    <s v="REG101340"/>
    <x v="1243"/>
    <n v="11.62"/>
    <x v="581"/>
    <d v="2024-12-05T00:00:00"/>
    <x v="1"/>
    <n v="4601.3999999999996"/>
    <n v="0"/>
    <n v="4601.3999999999996"/>
    <n v="2"/>
    <x v="0"/>
    <n v="0"/>
  </r>
  <r>
    <d v="2023-09-08T00:00:00"/>
    <x v="0"/>
    <x v="5"/>
    <x v="11"/>
    <n v="293.94"/>
    <s v="Store B"/>
    <x v="1"/>
    <n v="0.15"/>
    <x v="1"/>
    <n v="4996.9799999999996"/>
    <x v="2"/>
    <s v="SAVE10"/>
    <n v="0"/>
    <s v="REG101341"/>
    <x v="1244"/>
    <n v="9.2899999999999991"/>
    <x v="247"/>
    <d v="2023-09-15T00:00:00"/>
    <x v="0"/>
    <n v="5878.8"/>
    <n v="881.82"/>
    <n v="4996.9800000000005"/>
    <n v="7"/>
    <x v="987"/>
    <n v="0"/>
  </r>
  <r>
    <d v="2024-01-05T00:00:00"/>
    <x v="0"/>
    <x v="2"/>
    <x v="3"/>
    <n v="454.01"/>
    <s v="Store B"/>
    <x v="0"/>
    <n v="0"/>
    <x v="4"/>
    <n v="908.02"/>
    <x v="0"/>
    <s v="WINTER15"/>
    <n v="0"/>
    <s v="REG101342"/>
    <x v="1245"/>
    <n v="9.7799999999999994"/>
    <x v="52"/>
    <d v="2024-01-07T00:00:00"/>
    <x v="0"/>
    <n v="908.02"/>
    <n v="0"/>
    <n v="908.02"/>
    <n v="2"/>
    <x v="0"/>
    <n v="0"/>
  </r>
  <r>
    <d v="2023-08-03T00:00:00"/>
    <x v="1"/>
    <x v="3"/>
    <x v="6"/>
    <n v="163.55000000000001"/>
    <s v="Store D"/>
    <x v="1"/>
    <n v="0.05"/>
    <x v="2"/>
    <n v="776.86249999999995"/>
    <x v="4"/>
    <m/>
    <n v="0"/>
    <s v="REG101343"/>
    <x v="1246"/>
    <n v="28.9"/>
    <x v="712"/>
    <d v="2023-08-10T00:00:00"/>
    <x v="1"/>
    <n v="817.75"/>
    <n v="40.887500000000003"/>
    <n v="776.86249999999995"/>
    <n v="7"/>
    <x v="988"/>
    <n v="0"/>
  </r>
  <r>
    <d v="2025-02-11T00:00:00"/>
    <x v="2"/>
    <x v="4"/>
    <x v="13"/>
    <n v="141.61000000000001"/>
    <s v="Store B"/>
    <x v="0"/>
    <n v="0"/>
    <x v="2"/>
    <n v="1699.32"/>
    <x v="2"/>
    <s v="WINTER15"/>
    <n v="0"/>
    <s v="REG101344"/>
    <x v="1247"/>
    <n v="11.72"/>
    <x v="668"/>
    <d v="2025-02-21T00:00:00"/>
    <x v="2"/>
    <n v="1699.3200000000002"/>
    <n v="0"/>
    <n v="1699.3200000000002"/>
    <n v="10"/>
    <x v="0"/>
    <n v="0"/>
  </r>
  <r>
    <d v="2023-06-17T00:00:00"/>
    <x v="1"/>
    <x v="3"/>
    <x v="16"/>
    <n v="332.18"/>
    <s v="Store B"/>
    <x v="0"/>
    <n v="0.1"/>
    <x v="5"/>
    <n v="1793.7719999999999"/>
    <x v="0"/>
    <s v="WINTER15"/>
    <n v="0"/>
    <s v="REG101345"/>
    <x v="1248"/>
    <n v="21.95"/>
    <x v="357"/>
    <d v="2023-06-21T00:00:00"/>
    <x v="1"/>
    <n v="1993.08"/>
    <n v="199.30799999999999"/>
    <n v="1793.7719999999999"/>
    <n v="4"/>
    <x v="989"/>
    <n v="0"/>
  </r>
  <r>
    <d v="2024-02-05T00:00:00"/>
    <x v="3"/>
    <x v="4"/>
    <x v="0"/>
    <n v="463.96"/>
    <s v="Store D"/>
    <x v="1"/>
    <n v="0.15"/>
    <x v="4"/>
    <n v="5521.1239999999998"/>
    <x v="1"/>
    <m/>
    <n v="0"/>
    <s v="REG101346"/>
    <x v="1249"/>
    <n v="29.19"/>
    <x v="713"/>
    <d v="2024-02-14T00:00:00"/>
    <x v="3"/>
    <n v="6495.44"/>
    <n v="974.31599999999992"/>
    <n v="5521.1239999999998"/>
    <n v="9"/>
    <x v="990"/>
    <n v="0"/>
  </r>
  <r>
    <d v="2024-03-17T00:00:00"/>
    <x v="1"/>
    <x v="2"/>
    <x v="12"/>
    <n v="68.27"/>
    <s v="Store A"/>
    <x v="0"/>
    <n v="0.15"/>
    <x v="4"/>
    <n v="580.29499999999996"/>
    <x v="2"/>
    <m/>
    <n v="0"/>
    <s v="REG101347"/>
    <x v="895"/>
    <n v="24.33"/>
    <x v="138"/>
    <d v="2024-03-27T00:00:00"/>
    <x v="1"/>
    <n v="682.69999999999993"/>
    <n v="102.40499999999999"/>
    <n v="580.29499999999996"/>
    <n v="10"/>
    <x v="991"/>
    <n v="0"/>
  </r>
  <r>
    <d v="2024-02-03T00:00:00"/>
    <x v="3"/>
    <x v="0"/>
    <x v="19"/>
    <n v="27.01"/>
    <s v="Store C"/>
    <x v="0"/>
    <n v="0.05"/>
    <x v="0"/>
    <n v="205.27600000000001"/>
    <x v="0"/>
    <s v="FREESHIP"/>
    <n v="1"/>
    <s v="REG101348"/>
    <x v="1250"/>
    <n v="42.65"/>
    <x v="490"/>
    <d v="2024-02-09T00:00:00"/>
    <x v="3"/>
    <n v="216.08"/>
    <n v="10.804000000000002"/>
    <n v="205.27600000000001"/>
    <n v="6"/>
    <x v="992"/>
    <n v="0"/>
  </r>
  <r>
    <d v="2023-03-31T00:00:00"/>
    <x v="2"/>
    <x v="5"/>
    <x v="17"/>
    <n v="78.8"/>
    <s v="Store D"/>
    <x v="1"/>
    <n v="0.1"/>
    <x v="1"/>
    <n v="638.28"/>
    <x v="0"/>
    <s v="FREESHIP"/>
    <n v="0"/>
    <s v="REG101349"/>
    <x v="753"/>
    <n v="9.2899999999999991"/>
    <x v="714"/>
    <d v="2023-04-10T00:00:00"/>
    <x v="2"/>
    <n v="709.19999999999993"/>
    <n v="70.92"/>
    <n v="638.28"/>
    <n v="10"/>
    <x v="993"/>
    <n v="0"/>
  </r>
  <r>
    <d v="2023-08-18T00:00:00"/>
    <x v="4"/>
    <x v="5"/>
    <x v="18"/>
    <n v="174.68"/>
    <s v="Store B"/>
    <x v="0"/>
    <n v="0.15"/>
    <x v="2"/>
    <n v="2375.6480000000001"/>
    <x v="2"/>
    <m/>
    <n v="0"/>
    <s v="REG101350"/>
    <x v="1088"/>
    <n v="45.99"/>
    <x v="715"/>
    <d v="2023-08-22T00:00:00"/>
    <x v="4"/>
    <n v="2794.88"/>
    <n v="419.23200000000003"/>
    <n v="2375.6480000000001"/>
    <n v="4"/>
    <x v="994"/>
    <n v="0"/>
  </r>
  <r>
    <d v="2023-09-10T00:00:00"/>
    <x v="3"/>
    <x v="6"/>
    <x v="15"/>
    <n v="306.06"/>
    <s v="Store C"/>
    <x v="0"/>
    <n v="0.05"/>
    <x v="3"/>
    <n v="1163.028"/>
    <x v="1"/>
    <s v="SAVE10"/>
    <n v="1"/>
    <s v="REG101351"/>
    <x v="623"/>
    <n v="32.75"/>
    <x v="354"/>
    <d v="2023-09-13T00:00:00"/>
    <x v="3"/>
    <n v="1224.24"/>
    <n v="61.212000000000003"/>
    <n v="1163.028"/>
    <n v="3"/>
    <x v="995"/>
    <n v="0"/>
  </r>
  <r>
    <d v="2024-01-29T00:00:00"/>
    <x v="1"/>
    <x v="5"/>
    <x v="13"/>
    <n v="164.22"/>
    <s v="Store C"/>
    <x v="1"/>
    <n v="0"/>
    <x v="5"/>
    <n v="1970.64"/>
    <x v="2"/>
    <s v="FREESHIP"/>
    <n v="0"/>
    <s v="REG101352"/>
    <x v="1241"/>
    <n v="21.46"/>
    <x v="282"/>
    <d v="2024-02-03T00:00:00"/>
    <x v="1"/>
    <n v="1970.6399999999999"/>
    <n v="0"/>
    <n v="1970.6399999999999"/>
    <n v="5"/>
    <x v="0"/>
    <n v="0"/>
  </r>
  <r>
    <d v="2024-03-21T00:00:00"/>
    <x v="2"/>
    <x v="5"/>
    <x v="11"/>
    <n v="336.29"/>
    <s v="Store C"/>
    <x v="1"/>
    <n v="0"/>
    <x v="0"/>
    <n v="6725.8"/>
    <x v="1"/>
    <s v="FREESHIP"/>
    <n v="0"/>
    <s v="REG101353"/>
    <x v="1251"/>
    <n v="25.02"/>
    <x v="58"/>
    <d v="2024-03-30T00:00:00"/>
    <x v="2"/>
    <n v="6725.8"/>
    <n v="0"/>
    <n v="6725.8"/>
    <n v="9"/>
    <x v="0"/>
    <n v="0"/>
  </r>
  <r>
    <d v="2024-08-03T00:00:00"/>
    <x v="4"/>
    <x v="5"/>
    <x v="4"/>
    <n v="180.25"/>
    <s v="Store D"/>
    <x v="1"/>
    <n v="0.1"/>
    <x v="4"/>
    <n v="1135.575"/>
    <x v="1"/>
    <s v="WINTER15"/>
    <n v="0"/>
    <s v="REG101354"/>
    <x v="1252"/>
    <n v="36.79"/>
    <x v="716"/>
    <d v="2024-08-05T00:00:00"/>
    <x v="4"/>
    <n v="1261.75"/>
    <n v="126.17500000000001"/>
    <n v="1135.575"/>
    <n v="2"/>
    <x v="996"/>
    <n v="0"/>
  </r>
  <r>
    <d v="2025-05-05T00:00:00"/>
    <x v="2"/>
    <x v="4"/>
    <x v="1"/>
    <n v="21.75"/>
    <s v="Store C"/>
    <x v="1"/>
    <n v="0"/>
    <x v="1"/>
    <n v="21.75"/>
    <x v="4"/>
    <s v="FREESHIP"/>
    <n v="0"/>
    <s v="REG101355"/>
    <x v="1253"/>
    <n v="7.35"/>
    <x v="500"/>
    <d v="2025-05-14T00:00:00"/>
    <x v="2"/>
    <n v="21.75"/>
    <n v="0"/>
    <n v="21.75"/>
    <n v="9"/>
    <x v="0"/>
    <n v="0"/>
  </r>
  <r>
    <d v="2023-02-08T00:00:00"/>
    <x v="4"/>
    <x v="5"/>
    <x v="14"/>
    <n v="149.16"/>
    <s v="Store C"/>
    <x v="1"/>
    <n v="0.1"/>
    <x v="0"/>
    <n v="1745.172"/>
    <x v="4"/>
    <m/>
    <n v="1"/>
    <s v="REG101356"/>
    <x v="562"/>
    <n v="20.9"/>
    <x v="162"/>
    <d v="2023-02-16T00:00:00"/>
    <x v="4"/>
    <n v="1939.08"/>
    <n v="193.90800000000002"/>
    <n v="1745.172"/>
    <n v="8"/>
    <x v="997"/>
    <n v="0"/>
  </r>
  <r>
    <d v="2023-05-26T00:00:00"/>
    <x v="3"/>
    <x v="3"/>
    <x v="4"/>
    <n v="220.9"/>
    <s v="Store A"/>
    <x v="0"/>
    <n v="0.15"/>
    <x v="5"/>
    <n v="1314.355"/>
    <x v="1"/>
    <s v="FREESHIP"/>
    <n v="0"/>
    <s v="REG101357"/>
    <x v="1254"/>
    <n v="15.25"/>
    <x v="717"/>
    <d v="2023-06-05T00:00:00"/>
    <x v="3"/>
    <n v="1546.3"/>
    <n v="231.94499999999999"/>
    <n v="1314.355"/>
    <n v="10"/>
    <x v="998"/>
    <n v="0"/>
  </r>
  <r>
    <d v="2024-07-15T00:00:00"/>
    <x v="0"/>
    <x v="3"/>
    <x v="1"/>
    <n v="364.27"/>
    <s v="Store A"/>
    <x v="1"/>
    <n v="0.1"/>
    <x v="1"/>
    <n v="327.84300000000002"/>
    <x v="3"/>
    <s v="WINTER15"/>
    <n v="0"/>
    <s v="REG101358"/>
    <x v="1255"/>
    <n v="8.91"/>
    <x v="236"/>
    <d v="2024-07-22T00:00:00"/>
    <x v="0"/>
    <n v="364.27"/>
    <n v="36.427"/>
    <n v="327.84299999999996"/>
    <n v="7"/>
    <x v="999"/>
    <n v="0"/>
  </r>
  <r>
    <d v="2024-12-18T00:00:00"/>
    <x v="2"/>
    <x v="4"/>
    <x v="17"/>
    <n v="306.42"/>
    <s v="Store C"/>
    <x v="0"/>
    <n v="0"/>
    <x v="5"/>
    <n v="2757.78"/>
    <x v="0"/>
    <m/>
    <n v="0"/>
    <s v="REG101359"/>
    <x v="1256"/>
    <n v="15.81"/>
    <x v="227"/>
    <d v="2024-12-27T00:00:00"/>
    <x v="2"/>
    <n v="2757.78"/>
    <n v="0"/>
    <n v="2757.78"/>
    <n v="9"/>
    <x v="0"/>
    <n v="0"/>
  </r>
  <r>
    <d v="2024-09-29T00:00:00"/>
    <x v="2"/>
    <x v="5"/>
    <x v="2"/>
    <n v="589"/>
    <s v="Store B"/>
    <x v="0"/>
    <n v="0.1"/>
    <x v="4"/>
    <n v="9541.8000000000011"/>
    <x v="4"/>
    <s v="WINTER15"/>
    <n v="0"/>
    <s v="REG101360"/>
    <x v="1257"/>
    <n v="37.78"/>
    <x v="385"/>
    <d v="2024-10-08T00:00:00"/>
    <x v="2"/>
    <n v="10602"/>
    <n v="1060.2"/>
    <n v="9541.7999999999993"/>
    <n v="9"/>
    <x v="1000"/>
    <n v="0"/>
  </r>
  <r>
    <d v="2024-10-25T00:00:00"/>
    <x v="1"/>
    <x v="2"/>
    <x v="18"/>
    <n v="249.45"/>
    <s v="Store C"/>
    <x v="0"/>
    <n v="0.1"/>
    <x v="1"/>
    <n v="3592.08"/>
    <x v="4"/>
    <s v="FREESHIP"/>
    <n v="0"/>
    <s v="REG101361"/>
    <x v="1258"/>
    <n v="20.92"/>
    <x v="718"/>
    <d v="2024-11-01T00:00:00"/>
    <x v="1"/>
    <n v="3991.2"/>
    <n v="399.12"/>
    <n v="3592.08"/>
    <n v="7"/>
    <x v="1001"/>
    <n v="0"/>
  </r>
  <r>
    <d v="2025-01-06T00:00:00"/>
    <x v="2"/>
    <x v="4"/>
    <x v="11"/>
    <n v="440.32"/>
    <s v="Store C"/>
    <x v="1"/>
    <n v="0.05"/>
    <x v="1"/>
    <n v="8366.08"/>
    <x v="3"/>
    <s v="SAVE10"/>
    <n v="1"/>
    <s v="REG101362"/>
    <x v="1259"/>
    <n v="6.17"/>
    <x v="428"/>
    <d v="2025-01-16T00:00:00"/>
    <x v="2"/>
    <n v="8806.4"/>
    <n v="440.32"/>
    <n v="8366.08"/>
    <n v="10"/>
    <x v="1002"/>
    <n v="0"/>
  </r>
  <r>
    <d v="2023-11-19T00:00:00"/>
    <x v="3"/>
    <x v="5"/>
    <x v="5"/>
    <n v="101.34"/>
    <s v="Store A"/>
    <x v="0"/>
    <n v="0"/>
    <x v="3"/>
    <n v="304.02"/>
    <x v="3"/>
    <m/>
    <n v="0"/>
    <s v="REG101363"/>
    <x v="1260"/>
    <n v="23.15"/>
    <x v="86"/>
    <d v="2023-11-21T00:00:00"/>
    <x v="3"/>
    <n v="304.02"/>
    <n v="0"/>
    <n v="304.02"/>
    <n v="2"/>
    <x v="0"/>
    <n v="0"/>
  </r>
  <r>
    <d v="2024-04-11T00:00:00"/>
    <x v="1"/>
    <x v="1"/>
    <x v="9"/>
    <n v="311.61"/>
    <s v="Store A"/>
    <x v="1"/>
    <n v="0.05"/>
    <x v="0"/>
    <n v="5032.5014999999994"/>
    <x v="0"/>
    <m/>
    <n v="1"/>
    <s v="REG101364"/>
    <x v="1261"/>
    <n v="29.9"/>
    <x v="610"/>
    <d v="2024-04-17T00:00:00"/>
    <x v="1"/>
    <n v="5297.37"/>
    <n v="264.86849999999998"/>
    <n v="5032.5015000000003"/>
    <n v="6"/>
    <x v="1003"/>
    <n v="0"/>
  </r>
  <r>
    <d v="2024-03-30T00:00:00"/>
    <x v="1"/>
    <x v="4"/>
    <x v="3"/>
    <n v="441.18"/>
    <s v="Store B"/>
    <x v="1"/>
    <n v="0.15"/>
    <x v="5"/>
    <n v="750.00599999999997"/>
    <x v="4"/>
    <m/>
    <n v="1"/>
    <s v="REG101365"/>
    <x v="1262"/>
    <n v="23.07"/>
    <x v="719"/>
    <d v="2024-04-06T00:00:00"/>
    <x v="1"/>
    <n v="882.36"/>
    <n v="132.35399999999998"/>
    <n v="750.00600000000009"/>
    <n v="7"/>
    <x v="1004"/>
    <n v="0"/>
  </r>
  <r>
    <d v="2024-11-25T00:00:00"/>
    <x v="2"/>
    <x v="3"/>
    <x v="11"/>
    <n v="286.66000000000003"/>
    <s v="Store D"/>
    <x v="1"/>
    <n v="0.1"/>
    <x v="3"/>
    <n v="5159.880000000001"/>
    <x v="3"/>
    <s v="WINTER15"/>
    <n v="0"/>
    <s v="REG101366"/>
    <x v="218"/>
    <n v="15.54"/>
    <x v="681"/>
    <d v="2024-11-29T00:00:00"/>
    <x v="2"/>
    <n v="5733.2000000000007"/>
    <n v="573.32000000000005"/>
    <n v="5159.880000000001"/>
    <n v="4"/>
    <x v="1005"/>
    <n v="0"/>
  </r>
  <r>
    <d v="2025-01-06T00:00:00"/>
    <x v="2"/>
    <x v="6"/>
    <x v="14"/>
    <n v="483.63"/>
    <s v="Store A"/>
    <x v="1"/>
    <n v="0.05"/>
    <x v="3"/>
    <n v="5972.8304999999991"/>
    <x v="4"/>
    <s v="FREESHIP"/>
    <n v="0"/>
    <s v="REG101367"/>
    <x v="1263"/>
    <n v="18.22"/>
    <x v="428"/>
    <d v="2025-01-15T00:00:00"/>
    <x v="2"/>
    <n v="6287.19"/>
    <n v="314.35950000000003"/>
    <n v="5972.8305"/>
    <n v="9"/>
    <x v="1006"/>
    <n v="0"/>
  </r>
  <r>
    <d v="2023-04-15T00:00:00"/>
    <x v="4"/>
    <x v="5"/>
    <x v="19"/>
    <n v="304.14999999999998"/>
    <s v="Store B"/>
    <x v="0"/>
    <n v="0.05"/>
    <x v="3"/>
    <n v="2311.54"/>
    <x v="3"/>
    <m/>
    <n v="0"/>
    <s v="REG101368"/>
    <x v="1264"/>
    <n v="41.73"/>
    <x v="180"/>
    <d v="2023-04-18T00:00:00"/>
    <x v="4"/>
    <n v="2433.1999999999998"/>
    <n v="121.66"/>
    <n v="2311.54"/>
    <n v="3"/>
    <x v="1007"/>
    <n v="0"/>
  </r>
  <r>
    <d v="2024-02-07T00:00:00"/>
    <x v="0"/>
    <x v="6"/>
    <x v="12"/>
    <n v="452.21"/>
    <s v="Store A"/>
    <x v="1"/>
    <n v="0.1"/>
    <x v="0"/>
    <n v="4069.889999999999"/>
    <x v="4"/>
    <s v="WINTER15"/>
    <n v="0"/>
    <s v="REG101369"/>
    <x v="1265"/>
    <n v="15.87"/>
    <x v="451"/>
    <d v="2024-02-17T00:00:00"/>
    <x v="0"/>
    <n v="4522.0999999999995"/>
    <n v="452.21"/>
    <n v="4069.8899999999994"/>
    <n v="10"/>
    <x v="1008"/>
    <n v="0"/>
  </r>
  <r>
    <d v="2023-06-02T00:00:00"/>
    <x v="0"/>
    <x v="6"/>
    <x v="15"/>
    <n v="248.16"/>
    <s v="Store B"/>
    <x v="1"/>
    <n v="0.1"/>
    <x v="4"/>
    <n v="893.37599999999998"/>
    <x v="2"/>
    <m/>
    <n v="1"/>
    <s v="REG101370"/>
    <x v="1266"/>
    <n v="45.11"/>
    <x v="720"/>
    <d v="2023-06-05T00:00:00"/>
    <x v="0"/>
    <n v="992.64"/>
    <n v="99.26400000000001"/>
    <n v="893.37599999999998"/>
    <n v="3"/>
    <x v="1009"/>
    <n v="0"/>
  </r>
  <r>
    <d v="2023-08-24T00:00:00"/>
    <x v="0"/>
    <x v="0"/>
    <x v="15"/>
    <n v="520"/>
    <s v="Store A"/>
    <x v="1"/>
    <n v="0"/>
    <x v="0"/>
    <n v="2080"/>
    <x v="2"/>
    <s v="WINTER15"/>
    <n v="0"/>
    <s v="REG101371"/>
    <x v="1267"/>
    <n v="18.25"/>
    <x v="648"/>
    <d v="2023-09-02T00:00:00"/>
    <x v="0"/>
    <n v="2080"/>
    <n v="0"/>
    <n v="2080"/>
    <n v="9"/>
    <x v="0"/>
    <n v="0"/>
  </r>
  <r>
    <d v="2024-12-06T00:00:00"/>
    <x v="1"/>
    <x v="3"/>
    <x v="10"/>
    <n v="571.07000000000005"/>
    <s v="Store A"/>
    <x v="1"/>
    <n v="0"/>
    <x v="2"/>
    <n v="6281.77"/>
    <x v="1"/>
    <s v="SAVE10"/>
    <n v="0"/>
    <s v="REG101372"/>
    <x v="1268"/>
    <n v="12.6"/>
    <x v="721"/>
    <d v="2024-12-11T00:00:00"/>
    <x v="1"/>
    <n v="6281.77"/>
    <n v="0"/>
    <n v="6281.77"/>
    <n v="5"/>
    <x v="0"/>
    <n v="0"/>
  </r>
  <r>
    <d v="2023-12-08T00:00:00"/>
    <x v="0"/>
    <x v="5"/>
    <x v="10"/>
    <n v="65.569999999999993"/>
    <s v="Store D"/>
    <x v="1"/>
    <n v="0.1"/>
    <x v="4"/>
    <n v="649.14300000000003"/>
    <x v="3"/>
    <s v="SAVE10"/>
    <n v="1"/>
    <s v="REG101373"/>
    <x v="1269"/>
    <n v="30.43"/>
    <x v="437"/>
    <d v="2023-12-14T00:00:00"/>
    <x v="0"/>
    <n v="721.27"/>
    <n v="72.126999999999995"/>
    <n v="649.14300000000003"/>
    <n v="6"/>
    <x v="1010"/>
    <n v="0"/>
  </r>
  <r>
    <d v="2023-05-12T00:00:00"/>
    <x v="1"/>
    <x v="5"/>
    <x v="15"/>
    <n v="397.02"/>
    <s v="Store A"/>
    <x v="0"/>
    <n v="0"/>
    <x v="2"/>
    <n v="1588.08"/>
    <x v="4"/>
    <s v="FREESHIP"/>
    <n v="0"/>
    <s v="REG101374"/>
    <x v="1270"/>
    <n v="23.25"/>
    <x v="551"/>
    <d v="2023-05-20T00:00:00"/>
    <x v="1"/>
    <n v="1588.08"/>
    <n v="0"/>
    <n v="1588.08"/>
    <n v="8"/>
    <x v="0"/>
    <n v="0"/>
  </r>
  <r>
    <d v="2025-04-24T00:00:00"/>
    <x v="4"/>
    <x v="0"/>
    <x v="12"/>
    <n v="169.35"/>
    <s v="Store B"/>
    <x v="1"/>
    <n v="0.05"/>
    <x v="1"/>
    <n v="1608.825"/>
    <x v="2"/>
    <s v="WINTER15"/>
    <n v="0"/>
    <s v="REG101375"/>
    <x v="1271"/>
    <n v="44.91"/>
    <x v="696"/>
    <d v="2025-04-27T00:00:00"/>
    <x v="4"/>
    <n v="1693.5"/>
    <n v="84.675000000000011"/>
    <n v="1608.825"/>
    <n v="3"/>
    <x v="1011"/>
    <n v="0"/>
  </r>
  <r>
    <d v="2023-04-23T00:00:00"/>
    <x v="3"/>
    <x v="5"/>
    <x v="17"/>
    <n v="340.44"/>
    <s v="Store D"/>
    <x v="1"/>
    <n v="0.05"/>
    <x v="3"/>
    <n v="2910.7620000000002"/>
    <x v="3"/>
    <s v="FREESHIP"/>
    <n v="1"/>
    <s v="REG101376"/>
    <x v="1272"/>
    <n v="36.68"/>
    <x v="134"/>
    <d v="2023-05-03T00:00:00"/>
    <x v="3"/>
    <n v="3063.96"/>
    <n v="153.19800000000001"/>
    <n v="2910.7620000000002"/>
    <n v="10"/>
    <x v="1012"/>
    <n v="0"/>
  </r>
  <r>
    <d v="2023-01-18T00:00:00"/>
    <x v="2"/>
    <x v="4"/>
    <x v="1"/>
    <n v="120.2"/>
    <s v="Store D"/>
    <x v="1"/>
    <n v="0.05"/>
    <x v="3"/>
    <n v="114.19"/>
    <x v="0"/>
    <s v="WINTER15"/>
    <n v="0"/>
    <s v="REG101377"/>
    <x v="1214"/>
    <n v="44.99"/>
    <x v="722"/>
    <d v="2023-01-21T00:00:00"/>
    <x v="2"/>
    <n v="120.2"/>
    <n v="6.0100000000000007"/>
    <n v="114.19"/>
    <n v="3"/>
    <x v="1013"/>
    <n v="0"/>
  </r>
  <r>
    <d v="2025-05-11T00:00:00"/>
    <x v="2"/>
    <x v="1"/>
    <x v="14"/>
    <n v="169.39"/>
    <s v="Store B"/>
    <x v="0"/>
    <n v="0.15"/>
    <x v="4"/>
    <n v="1871.7594999999999"/>
    <x v="2"/>
    <m/>
    <n v="0"/>
    <s v="REG101378"/>
    <x v="1273"/>
    <n v="6.81"/>
    <x v="15"/>
    <d v="2025-05-21T00:00:00"/>
    <x v="2"/>
    <n v="2202.0699999999997"/>
    <n v="330.31049999999993"/>
    <n v="1871.7594999999997"/>
    <n v="10"/>
    <x v="1014"/>
    <n v="0"/>
  </r>
  <r>
    <d v="2024-12-23T00:00:00"/>
    <x v="4"/>
    <x v="5"/>
    <x v="12"/>
    <n v="170.72"/>
    <s v="Store A"/>
    <x v="0"/>
    <n v="0.05"/>
    <x v="2"/>
    <n v="1621.84"/>
    <x v="0"/>
    <s v="FREESHIP"/>
    <n v="0"/>
    <s v="REG101379"/>
    <x v="1274"/>
    <n v="29.18"/>
    <x v="473"/>
    <d v="2025-01-02T00:00:00"/>
    <x v="4"/>
    <n v="1707.2"/>
    <n v="85.360000000000014"/>
    <n v="1621.8400000000001"/>
    <n v="10"/>
    <x v="1015"/>
    <n v="0"/>
  </r>
  <r>
    <d v="2023-08-20T00:00:00"/>
    <x v="4"/>
    <x v="2"/>
    <x v="17"/>
    <n v="323.77"/>
    <s v="Store A"/>
    <x v="0"/>
    <n v="0.15"/>
    <x v="3"/>
    <n v="2476.8404999999998"/>
    <x v="3"/>
    <m/>
    <n v="0"/>
    <s v="REG101380"/>
    <x v="1275"/>
    <n v="6.36"/>
    <x v="652"/>
    <d v="2023-08-28T00:00:00"/>
    <x v="4"/>
    <n v="2913.93"/>
    <n v="437.08949999999999"/>
    <n v="2476.8404999999998"/>
    <n v="8"/>
    <x v="1016"/>
    <n v="0"/>
  </r>
  <r>
    <d v="2025-03-18T00:00:00"/>
    <x v="3"/>
    <x v="3"/>
    <x v="15"/>
    <n v="481.86"/>
    <s v="Store B"/>
    <x v="0"/>
    <n v="0"/>
    <x v="5"/>
    <n v="1927.44"/>
    <x v="0"/>
    <s v="FREESHIP"/>
    <n v="0"/>
    <s v="REG101381"/>
    <x v="1276"/>
    <n v="21.92"/>
    <x v="213"/>
    <d v="2025-03-23T00:00:00"/>
    <x v="3"/>
    <n v="1927.44"/>
    <n v="0"/>
    <n v="1927.44"/>
    <n v="5"/>
    <x v="0"/>
    <n v="0"/>
  </r>
  <r>
    <d v="2024-01-16T00:00:00"/>
    <x v="3"/>
    <x v="1"/>
    <x v="15"/>
    <n v="78.05"/>
    <s v="Store A"/>
    <x v="1"/>
    <n v="0"/>
    <x v="3"/>
    <n v="312.2"/>
    <x v="2"/>
    <m/>
    <n v="0"/>
    <s v="REG101382"/>
    <x v="1277"/>
    <n v="14.03"/>
    <x v="436"/>
    <d v="2024-01-24T00:00:00"/>
    <x v="3"/>
    <n v="312.2"/>
    <n v="0"/>
    <n v="312.2"/>
    <n v="8"/>
    <x v="0"/>
    <n v="0"/>
  </r>
  <r>
    <d v="2024-05-29T00:00:00"/>
    <x v="0"/>
    <x v="5"/>
    <x v="16"/>
    <n v="57.4"/>
    <s v="Store C"/>
    <x v="0"/>
    <n v="0.1"/>
    <x v="0"/>
    <n v="309.95999999999998"/>
    <x v="3"/>
    <s v="FREESHIP"/>
    <n v="0"/>
    <s v="REG101383"/>
    <x v="1278"/>
    <n v="26.42"/>
    <x v="723"/>
    <d v="2024-06-08T00:00:00"/>
    <x v="0"/>
    <n v="344.4"/>
    <n v="34.44"/>
    <n v="309.95999999999998"/>
    <n v="10"/>
    <x v="1017"/>
    <n v="0"/>
  </r>
  <r>
    <d v="2025-03-25T00:00:00"/>
    <x v="1"/>
    <x v="0"/>
    <x v="17"/>
    <n v="454.98"/>
    <s v="Store B"/>
    <x v="0"/>
    <n v="0.15"/>
    <x v="0"/>
    <n v="3480.5970000000002"/>
    <x v="2"/>
    <m/>
    <n v="0"/>
    <s v="REG101384"/>
    <x v="1279"/>
    <n v="40.76"/>
    <x v="287"/>
    <d v="2025-03-27T00:00:00"/>
    <x v="1"/>
    <n v="4094.82"/>
    <n v="614.22299999999996"/>
    <n v="3480.5970000000002"/>
    <n v="2"/>
    <x v="1018"/>
    <n v="0"/>
  </r>
  <r>
    <d v="2025-03-22T00:00:00"/>
    <x v="3"/>
    <x v="2"/>
    <x v="10"/>
    <n v="365.75"/>
    <s v="Store D"/>
    <x v="0"/>
    <n v="0.05"/>
    <x v="5"/>
    <n v="3822.0875000000001"/>
    <x v="3"/>
    <s v="FREESHIP"/>
    <n v="1"/>
    <s v="REG101385"/>
    <x v="1280"/>
    <n v="8.3699999999999992"/>
    <x v="61"/>
    <d v="2025-03-27T00:00:00"/>
    <x v="3"/>
    <n v="4023.25"/>
    <n v="201.16250000000002"/>
    <n v="3822.0875000000001"/>
    <n v="5"/>
    <x v="1019"/>
    <n v="0"/>
  </r>
  <r>
    <d v="2024-08-17T00:00:00"/>
    <x v="0"/>
    <x v="1"/>
    <x v="4"/>
    <n v="106.88"/>
    <s v="Store C"/>
    <x v="1"/>
    <n v="0.05"/>
    <x v="4"/>
    <n v="710.75199999999995"/>
    <x v="4"/>
    <s v="WINTER15"/>
    <n v="1"/>
    <s v="REG101386"/>
    <x v="1281"/>
    <n v="26.12"/>
    <x v="157"/>
    <d v="2024-08-24T00:00:00"/>
    <x v="0"/>
    <n v="748.16"/>
    <n v="37.408000000000001"/>
    <n v="710.75199999999995"/>
    <n v="7"/>
    <x v="1020"/>
    <n v="0"/>
  </r>
  <r>
    <d v="2024-06-02T00:00:00"/>
    <x v="1"/>
    <x v="6"/>
    <x v="3"/>
    <n v="250.98"/>
    <s v="Store B"/>
    <x v="0"/>
    <n v="0.1"/>
    <x v="0"/>
    <n v="451.76400000000001"/>
    <x v="0"/>
    <s v="WINTER15"/>
    <n v="0"/>
    <s v="REG101387"/>
    <x v="1282"/>
    <n v="18.8"/>
    <x v="403"/>
    <d v="2024-06-12T00:00:00"/>
    <x v="1"/>
    <n v="501.96"/>
    <n v="50.195999999999998"/>
    <n v="451.76400000000001"/>
    <n v="10"/>
    <x v="1021"/>
    <n v="0"/>
  </r>
  <r>
    <d v="2023-03-31T00:00:00"/>
    <x v="1"/>
    <x v="4"/>
    <x v="19"/>
    <n v="591.29"/>
    <s v="Store C"/>
    <x v="1"/>
    <n v="0.1"/>
    <x v="4"/>
    <n v="4257.2879999999996"/>
    <x v="2"/>
    <m/>
    <n v="1"/>
    <s v="REG101388"/>
    <x v="1283"/>
    <n v="45.14"/>
    <x v="714"/>
    <d v="2023-04-10T00:00:00"/>
    <x v="1"/>
    <n v="4730.32"/>
    <n v="473.03199999999998"/>
    <n v="4257.2879999999996"/>
    <n v="10"/>
    <x v="1022"/>
    <n v="0"/>
  </r>
  <r>
    <d v="2024-05-19T00:00:00"/>
    <x v="4"/>
    <x v="4"/>
    <x v="2"/>
    <n v="369.79"/>
    <s v="Store A"/>
    <x v="0"/>
    <n v="0.05"/>
    <x v="0"/>
    <n v="6323.4089999999997"/>
    <x v="4"/>
    <s v="FREESHIP"/>
    <n v="1"/>
    <s v="REG101389"/>
    <x v="1284"/>
    <n v="16.399999999999999"/>
    <x v="539"/>
    <d v="2024-05-23T00:00:00"/>
    <x v="4"/>
    <n v="6656.22"/>
    <n v="332.81100000000004"/>
    <n v="6323.4090000000006"/>
    <n v="4"/>
    <x v="1023"/>
    <n v="0"/>
  </r>
  <r>
    <d v="2023-03-02T00:00:00"/>
    <x v="4"/>
    <x v="2"/>
    <x v="7"/>
    <n v="166.24"/>
    <s v="Store D"/>
    <x v="0"/>
    <n v="0.1"/>
    <x v="4"/>
    <n v="2244.2399999999998"/>
    <x v="3"/>
    <s v="SAVE10"/>
    <n v="0"/>
    <s v="REG101390"/>
    <x v="1285"/>
    <n v="9.86"/>
    <x v="724"/>
    <d v="2023-03-05T00:00:00"/>
    <x v="4"/>
    <n v="2493.6000000000004"/>
    <n v="249.36000000000004"/>
    <n v="2244.2400000000002"/>
    <n v="3"/>
    <x v="1024"/>
    <n v="0"/>
  </r>
  <r>
    <d v="2023-03-13T00:00:00"/>
    <x v="2"/>
    <x v="6"/>
    <x v="13"/>
    <n v="260.76"/>
    <s v="Store C"/>
    <x v="0"/>
    <n v="0.15"/>
    <x v="3"/>
    <n v="2659.752"/>
    <x v="0"/>
    <m/>
    <n v="0"/>
    <s v="REG101391"/>
    <x v="1286"/>
    <n v="20.92"/>
    <x v="122"/>
    <d v="2023-03-22T00:00:00"/>
    <x v="2"/>
    <n v="3129.12"/>
    <n v="469.36799999999994"/>
    <n v="2659.752"/>
    <n v="9"/>
    <x v="1025"/>
    <n v="0"/>
  </r>
  <r>
    <d v="2025-04-16T00:00:00"/>
    <x v="4"/>
    <x v="0"/>
    <x v="12"/>
    <n v="348.63"/>
    <s v="Store D"/>
    <x v="0"/>
    <n v="0.05"/>
    <x v="4"/>
    <n v="3311.9850000000001"/>
    <x v="2"/>
    <m/>
    <n v="1"/>
    <s v="REG101392"/>
    <x v="1287"/>
    <n v="42.79"/>
    <x v="454"/>
    <d v="2025-04-18T00:00:00"/>
    <x v="4"/>
    <n v="3486.3"/>
    <n v="174.31500000000003"/>
    <n v="3311.9850000000001"/>
    <n v="2"/>
    <x v="1026"/>
    <n v="0"/>
  </r>
  <r>
    <d v="2024-06-05T00:00:00"/>
    <x v="2"/>
    <x v="3"/>
    <x v="6"/>
    <n v="473.28"/>
    <s v="Store A"/>
    <x v="1"/>
    <n v="0"/>
    <x v="4"/>
    <n v="2366.4"/>
    <x v="2"/>
    <s v="SAVE10"/>
    <n v="1"/>
    <s v="REG101393"/>
    <x v="1288"/>
    <n v="30.69"/>
    <x v="410"/>
    <d v="2024-06-15T00:00:00"/>
    <x v="2"/>
    <n v="2366.3999999999996"/>
    <n v="0"/>
    <n v="2366.3999999999996"/>
    <n v="10"/>
    <x v="0"/>
    <n v="0"/>
  </r>
  <r>
    <d v="2024-09-01T00:00:00"/>
    <x v="2"/>
    <x v="3"/>
    <x v="18"/>
    <n v="401.83"/>
    <s v="Store B"/>
    <x v="1"/>
    <n v="0"/>
    <x v="0"/>
    <n v="6429.28"/>
    <x v="4"/>
    <s v="FREESHIP"/>
    <n v="0"/>
    <s v="REG101394"/>
    <x v="613"/>
    <n v="21.54"/>
    <x v="404"/>
    <d v="2024-09-05T00:00:00"/>
    <x v="2"/>
    <n v="6429.28"/>
    <n v="0"/>
    <n v="6429.28"/>
    <n v="4"/>
    <x v="0"/>
    <n v="0"/>
  </r>
  <r>
    <d v="2024-09-21T00:00:00"/>
    <x v="2"/>
    <x v="1"/>
    <x v="12"/>
    <n v="269.29000000000002"/>
    <s v="Store C"/>
    <x v="1"/>
    <n v="0"/>
    <x v="0"/>
    <n v="2692.9"/>
    <x v="3"/>
    <s v="SAVE10"/>
    <n v="0"/>
    <s v="REG101395"/>
    <x v="1170"/>
    <n v="14.09"/>
    <x v="367"/>
    <d v="2024-09-30T00:00:00"/>
    <x v="2"/>
    <n v="2692.9"/>
    <n v="0"/>
    <n v="2692.9"/>
    <n v="9"/>
    <x v="0"/>
    <n v="0"/>
  </r>
  <r>
    <d v="2025-01-11T00:00:00"/>
    <x v="2"/>
    <x v="2"/>
    <x v="15"/>
    <n v="323.02"/>
    <s v="Store C"/>
    <x v="1"/>
    <n v="0.05"/>
    <x v="4"/>
    <n v="1227.4760000000001"/>
    <x v="4"/>
    <m/>
    <n v="0"/>
    <s v="REG101396"/>
    <x v="1289"/>
    <n v="19.53"/>
    <x v="405"/>
    <d v="2025-01-16T00:00:00"/>
    <x v="2"/>
    <n v="1292.08"/>
    <n v="64.603999999999999"/>
    <n v="1227.4759999999999"/>
    <n v="5"/>
    <x v="1027"/>
    <n v="0"/>
  </r>
  <r>
    <d v="2023-01-04T00:00:00"/>
    <x v="4"/>
    <x v="4"/>
    <x v="7"/>
    <n v="439.89"/>
    <s v="Store D"/>
    <x v="1"/>
    <n v="0.15"/>
    <x v="4"/>
    <n v="5608.5974999999989"/>
    <x v="0"/>
    <s v="FREESHIP"/>
    <n v="0"/>
    <s v="REG101397"/>
    <x v="1290"/>
    <n v="49.71"/>
    <x v="725"/>
    <d v="2023-01-08T00:00:00"/>
    <x v="4"/>
    <n v="6598.3499999999995"/>
    <n v="989.75249999999983"/>
    <n v="5608.5974999999999"/>
    <n v="4"/>
    <x v="1028"/>
    <n v="0"/>
  </r>
  <r>
    <d v="2023-05-02T00:00:00"/>
    <x v="4"/>
    <x v="4"/>
    <x v="18"/>
    <n v="483.09"/>
    <s v="Store C"/>
    <x v="0"/>
    <n v="0.05"/>
    <x v="1"/>
    <n v="7342.9679999999989"/>
    <x v="3"/>
    <m/>
    <n v="1"/>
    <s v="REG101398"/>
    <x v="1184"/>
    <n v="37.659999999999997"/>
    <x v="210"/>
    <d v="2023-05-05T00:00:00"/>
    <x v="4"/>
    <n v="7729.44"/>
    <n v="386.47199999999998"/>
    <n v="7342.9679999999998"/>
    <n v="3"/>
    <x v="1029"/>
    <n v="0"/>
  </r>
  <r>
    <d v="2023-07-09T00:00:00"/>
    <x v="0"/>
    <x v="1"/>
    <x v="14"/>
    <n v="27.39"/>
    <s v="Store B"/>
    <x v="1"/>
    <n v="0.15"/>
    <x v="2"/>
    <n v="302.65949999999998"/>
    <x v="4"/>
    <m/>
    <n v="0"/>
    <s v="REG101399"/>
    <x v="1291"/>
    <n v="22.95"/>
    <x v="657"/>
    <d v="2023-07-14T00:00:00"/>
    <x v="0"/>
    <n v="356.07"/>
    <n v="53.410499999999999"/>
    <n v="302.65949999999998"/>
    <n v="5"/>
    <x v="1030"/>
    <n v="0"/>
  </r>
  <r>
    <d v="2025-02-27T00:00:00"/>
    <x v="0"/>
    <x v="4"/>
    <x v="2"/>
    <n v="432.52"/>
    <s v="Store D"/>
    <x v="1"/>
    <n v="0.05"/>
    <x v="5"/>
    <n v="7396.0919999999996"/>
    <x v="2"/>
    <s v="SAVE10"/>
    <n v="1"/>
    <s v="REG101400"/>
    <x v="12"/>
    <n v="34.19"/>
    <x v="370"/>
    <d v="2025-03-04T00:00:00"/>
    <x v="0"/>
    <n v="7785.36"/>
    <n v="389.26800000000003"/>
    <n v="7396.0919999999996"/>
    <n v="5"/>
    <x v="1031"/>
    <n v="0"/>
  </r>
  <r>
    <d v="2024-09-23T00:00:00"/>
    <x v="4"/>
    <x v="6"/>
    <x v="5"/>
    <n v="360.93"/>
    <s v="Store B"/>
    <x v="0"/>
    <n v="0.15"/>
    <x v="4"/>
    <n v="920.37149999999997"/>
    <x v="3"/>
    <s v="WINTER15"/>
    <n v="0"/>
    <s v="REG101401"/>
    <x v="1292"/>
    <n v="35.61"/>
    <x v="726"/>
    <d v="2024-09-29T00:00:00"/>
    <x v="4"/>
    <n v="1082.79"/>
    <n v="162.41849999999999"/>
    <n v="920.37149999999997"/>
    <n v="6"/>
    <x v="1032"/>
    <n v="0"/>
  </r>
  <r>
    <d v="2025-06-22T00:00:00"/>
    <x v="0"/>
    <x v="5"/>
    <x v="6"/>
    <n v="414.58"/>
    <s v="Store B"/>
    <x v="1"/>
    <n v="0.1"/>
    <x v="4"/>
    <n v="1865.61"/>
    <x v="1"/>
    <m/>
    <n v="0"/>
    <s v="REG101402"/>
    <x v="1293"/>
    <n v="14.98"/>
    <x v="153"/>
    <d v="2025-07-01T00:00:00"/>
    <x v="0"/>
    <n v="2072.9"/>
    <n v="207.29000000000002"/>
    <n v="1865.6100000000001"/>
    <n v="9"/>
    <x v="1033"/>
    <n v="0"/>
  </r>
  <r>
    <d v="2025-01-19T00:00:00"/>
    <x v="3"/>
    <x v="5"/>
    <x v="15"/>
    <n v="68.040000000000006"/>
    <s v="Store C"/>
    <x v="0"/>
    <n v="0"/>
    <x v="5"/>
    <n v="272.16000000000003"/>
    <x v="0"/>
    <s v="FREESHIP"/>
    <n v="0"/>
    <s v="REG101403"/>
    <x v="1294"/>
    <n v="18.72"/>
    <x v="423"/>
    <d v="2025-01-28T00:00:00"/>
    <x v="3"/>
    <n v="272.16000000000003"/>
    <n v="0"/>
    <n v="272.16000000000003"/>
    <n v="9"/>
    <x v="0"/>
    <n v="0"/>
  </r>
  <r>
    <d v="2025-02-03T00:00:00"/>
    <x v="0"/>
    <x v="1"/>
    <x v="12"/>
    <n v="407.99"/>
    <s v="Store C"/>
    <x v="1"/>
    <n v="0.15"/>
    <x v="0"/>
    <n v="3467.915"/>
    <x v="4"/>
    <m/>
    <n v="0"/>
    <s v="REG101404"/>
    <x v="1295"/>
    <n v="49.59"/>
    <x v="45"/>
    <d v="2025-02-08T00:00:00"/>
    <x v="0"/>
    <n v="4079.9"/>
    <n v="611.98500000000001"/>
    <n v="3467.915"/>
    <n v="5"/>
    <x v="1034"/>
    <n v="0"/>
  </r>
  <r>
    <d v="2023-11-11T00:00:00"/>
    <x v="0"/>
    <x v="5"/>
    <x v="7"/>
    <n v="274.77"/>
    <s v="Store D"/>
    <x v="1"/>
    <n v="0"/>
    <x v="0"/>
    <n v="4121.5499999999993"/>
    <x v="4"/>
    <m/>
    <n v="1"/>
    <s v="REG101405"/>
    <x v="1296"/>
    <n v="19.37"/>
    <x v="203"/>
    <d v="2023-11-17T00:00:00"/>
    <x v="0"/>
    <n v="4121.5499999999993"/>
    <n v="0"/>
    <n v="4121.5499999999993"/>
    <n v="6"/>
    <x v="0"/>
    <n v="0"/>
  </r>
  <r>
    <d v="2024-05-08T00:00:00"/>
    <x v="0"/>
    <x v="2"/>
    <x v="7"/>
    <n v="31.81"/>
    <s v="Store C"/>
    <x v="0"/>
    <n v="0.15"/>
    <x v="0"/>
    <n v="405.57749999999999"/>
    <x v="4"/>
    <s v="SAVE10"/>
    <n v="0"/>
    <s v="REG101406"/>
    <x v="1297"/>
    <n v="23.61"/>
    <x v="336"/>
    <d v="2024-05-10T00:00:00"/>
    <x v="0"/>
    <n v="477.15"/>
    <n v="71.572499999999991"/>
    <n v="405.57749999999999"/>
    <n v="2"/>
    <x v="1035"/>
    <n v="0"/>
  </r>
  <r>
    <d v="2023-09-18T00:00:00"/>
    <x v="1"/>
    <x v="6"/>
    <x v="0"/>
    <n v="268.32"/>
    <s v="Store D"/>
    <x v="1"/>
    <n v="0"/>
    <x v="2"/>
    <n v="3756.48"/>
    <x v="0"/>
    <s v="WINTER15"/>
    <n v="0"/>
    <s v="REG101407"/>
    <x v="1298"/>
    <n v="43.14"/>
    <x v="339"/>
    <d v="2023-09-27T00:00:00"/>
    <x v="1"/>
    <n v="3756.48"/>
    <n v="0"/>
    <n v="3756.48"/>
    <n v="9"/>
    <x v="0"/>
    <n v="0"/>
  </r>
  <r>
    <d v="2025-04-05T00:00:00"/>
    <x v="3"/>
    <x v="5"/>
    <x v="8"/>
    <n v="350.12"/>
    <s v="Store D"/>
    <x v="1"/>
    <n v="0.05"/>
    <x v="1"/>
    <n v="6319.6659999999993"/>
    <x v="2"/>
    <s v="FREESHIP"/>
    <n v="0"/>
    <s v="REG101408"/>
    <x v="842"/>
    <n v="48.98"/>
    <x v="518"/>
    <d v="2025-04-13T00:00:00"/>
    <x v="3"/>
    <n v="6652.28"/>
    <n v="332.61400000000003"/>
    <n v="6319.6659999999993"/>
    <n v="8"/>
    <x v="1036"/>
    <n v="0"/>
  </r>
  <r>
    <d v="2023-09-13T00:00:00"/>
    <x v="3"/>
    <x v="2"/>
    <x v="17"/>
    <n v="329.15"/>
    <s v="Store A"/>
    <x v="1"/>
    <n v="0.05"/>
    <x v="4"/>
    <n v="2814.2325000000001"/>
    <x v="1"/>
    <s v="FREESHIP"/>
    <n v="0"/>
    <s v="REG101409"/>
    <x v="1299"/>
    <n v="29.41"/>
    <x v="727"/>
    <d v="2023-09-15T00:00:00"/>
    <x v="3"/>
    <n v="2962.35"/>
    <n v="148.11750000000001"/>
    <n v="2814.2325000000001"/>
    <n v="2"/>
    <x v="1037"/>
    <n v="0"/>
  </r>
  <r>
    <d v="2024-06-28T00:00:00"/>
    <x v="0"/>
    <x v="4"/>
    <x v="1"/>
    <n v="577.07000000000005"/>
    <s v="Store C"/>
    <x v="0"/>
    <n v="0.05"/>
    <x v="2"/>
    <n v="548.2165"/>
    <x v="0"/>
    <s v="WINTER15"/>
    <n v="0"/>
    <s v="REG101410"/>
    <x v="1300"/>
    <n v="22.97"/>
    <x v="163"/>
    <d v="2024-07-06T00:00:00"/>
    <x v="0"/>
    <n v="577.07000000000005"/>
    <n v="28.853500000000004"/>
    <n v="548.2165"/>
    <n v="8"/>
    <x v="1038"/>
    <n v="0"/>
  </r>
  <r>
    <d v="2023-04-06T00:00:00"/>
    <x v="3"/>
    <x v="3"/>
    <x v="16"/>
    <n v="544.33000000000004"/>
    <s v="Store B"/>
    <x v="0"/>
    <n v="0.1"/>
    <x v="3"/>
    <n v="2939.382000000001"/>
    <x v="4"/>
    <m/>
    <n v="0"/>
    <s v="REG101411"/>
    <x v="458"/>
    <n v="11.52"/>
    <x v="645"/>
    <d v="2023-04-08T00:00:00"/>
    <x v="3"/>
    <n v="3265.9800000000005"/>
    <n v="326.59800000000007"/>
    <n v="2939.3820000000005"/>
    <n v="2"/>
    <x v="1039"/>
    <n v="0"/>
  </r>
  <r>
    <d v="2023-05-13T00:00:00"/>
    <x v="1"/>
    <x v="0"/>
    <x v="2"/>
    <n v="331.45"/>
    <s v="Store D"/>
    <x v="1"/>
    <n v="0.15"/>
    <x v="1"/>
    <n v="5071.1849999999986"/>
    <x v="4"/>
    <s v="WINTER15"/>
    <n v="1"/>
    <s v="REG101412"/>
    <x v="1011"/>
    <n v="32.92"/>
    <x v="194"/>
    <d v="2023-05-18T00:00:00"/>
    <x v="1"/>
    <n v="5966.0999999999995"/>
    <n v="894.91499999999985"/>
    <n v="5071.1849999999995"/>
    <n v="5"/>
    <x v="1040"/>
    <n v="0"/>
  </r>
  <r>
    <d v="2025-05-07T00:00:00"/>
    <x v="0"/>
    <x v="0"/>
    <x v="1"/>
    <n v="421.26"/>
    <s v="Store D"/>
    <x v="1"/>
    <n v="0.1"/>
    <x v="0"/>
    <n v="379.13400000000001"/>
    <x v="3"/>
    <s v="FREESHIP"/>
    <n v="0"/>
    <s v="REG101413"/>
    <x v="1301"/>
    <n v="36.340000000000003"/>
    <x v="695"/>
    <d v="2025-05-15T00:00:00"/>
    <x v="0"/>
    <n v="421.26"/>
    <n v="42.126000000000005"/>
    <n v="379.13400000000001"/>
    <n v="8"/>
    <x v="1041"/>
    <n v="0"/>
  </r>
  <r>
    <d v="2025-03-22T00:00:00"/>
    <x v="2"/>
    <x v="5"/>
    <x v="15"/>
    <n v="555.02"/>
    <s v="Store B"/>
    <x v="1"/>
    <n v="0.1"/>
    <x v="4"/>
    <n v="1998.0719999999999"/>
    <x v="4"/>
    <s v="SAVE10"/>
    <n v="0"/>
    <s v="REG101414"/>
    <x v="1302"/>
    <n v="45.25"/>
    <x v="61"/>
    <d v="2025-03-27T00:00:00"/>
    <x v="2"/>
    <n v="2220.08"/>
    <n v="222.00800000000001"/>
    <n v="1998.0719999999999"/>
    <n v="5"/>
    <x v="1042"/>
    <n v="0"/>
  </r>
  <r>
    <d v="2024-06-24T00:00:00"/>
    <x v="1"/>
    <x v="0"/>
    <x v="8"/>
    <n v="254.03"/>
    <s v="Store C"/>
    <x v="0"/>
    <n v="0"/>
    <x v="2"/>
    <n v="4826.57"/>
    <x v="0"/>
    <s v="SAVE10"/>
    <n v="1"/>
    <s v="REG101415"/>
    <x v="831"/>
    <n v="11.21"/>
    <x v="503"/>
    <d v="2024-07-02T00:00:00"/>
    <x v="1"/>
    <n v="4826.57"/>
    <n v="0"/>
    <n v="4826.57"/>
    <n v="8"/>
    <x v="0"/>
    <n v="0"/>
  </r>
  <r>
    <d v="2025-06-29T00:00:00"/>
    <x v="4"/>
    <x v="5"/>
    <x v="17"/>
    <n v="533.92999999999995"/>
    <s v="Store D"/>
    <x v="1"/>
    <n v="0.15"/>
    <x v="2"/>
    <n v="4084.5645"/>
    <x v="1"/>
    <m/>
    <n v="0"/>
    <s v="REG101416"/>
    <x v="1303"/>
    <n v="34.76"/>
    <x v="176"/>
    <d v="2025-07-03T00:00:00"/>
    <x v="4"/>
    <n v="4805.37"/>
    <n v="720.80549999999994"/>
    <n v="4084.5645"/>
    <n v="4"/>
    <x v="1043"/>
    <n v="0"/>
  </r>
  <r>
    <d v="2024-04-01T00:00:00"/>
    <x v="4"/>
    <x v="2"/>
    <x v="4"/>
    <n v="241.35"/>
    <s v="Store B"/>
    <x v="0"/>
    <n v="0.1"/>
    <x v="4"/>
    <n v="1520.5050000000001"/>
    <x v="2"/>
    <s v="SAVE10"/>
    <n v="0"/>
    <s v="REG101417"/>
    <x v="1304"/>
    <n v="42.43"/>
    <x v="204"/>
    <d v="2024-04-10T00:00:00"/>
    <x v="4"/>
    <n v="1689.45"/>
    <n v="168.94500000000002"/>
    <n v="1520.5050000000001"/>
    <n v="9"/>
    <x v="1044"/>
    <n v="0"/>
  </r>
  <r>
    <d v="2024-06-04T00:00:00"/>
    <x v="2"/>
    <x v="5"/>
    <x v="10"/>
    <n v="160.37"/>
    <s v="Store B"/>
    <x v="0"/>
    <n v="0.05"/>
    <x v="3"/>
    <n v="1675.8665000000001"/>
    <x v="4"/>
    <m/>
    <n v="0"/>
    <s v="REG101418"/>
    <x v="1305"/>
    <n v="36.049999999999997"/>
    <x v="44"/>
    <d v="2024-06-14T00:00:00"/>
    <x v="2"/>
    <n v="1764.0700000000002"/>
    <n v="88.20350000000002"/>
    <n v="1675.8665000000001"/>
    <n v="10"/>
    <x v="1045"/>
    <n v="0"/>
  </r>
  <r>
    <d v="2023-03-30T00:00:00"/>
    <x v="0"/>
    <x v="5"/>
    <x v="1"/>
    <n v="419.1"/>
    <s v="Store B"/>
    <x v="0"/>
    <n v="0.1"/>
    <x v="3"/>
    <n v="377.19000000000011"/>
    <x v="1"/>
    <s v="SAVE10"/>
    <n v="1"/>
    <s v="REG101419"/>
    <x v="1306"/>
    <n v="38.81"/>
    <x v="306"/>
    <d v="2023-04-06T00:00:00"/>
    <x v="0"/>
    <n v="419.1"/>
    <n v="41.910000000000004"/>
    <n v="377.19"/>
    <n v="7"/>
    <x v="1046"/>
    <n v="0"/>
  </r>
  <r>
    <d v="2025-03-26T00:00:00"/>
    <x v="0"/>
    <x v="0"/>
    <x v="14"/>
    <n v="138.72"/>
    <s v="Store D"/>
    <x v="0"/>
    <n v="0.15"/>
    <x v="3"/>
    <n v="1532.856"/>
    <x v="4"/>
    <s v="WINTER15"/>
    <n v="1"/>
    <s v="REG101420"/>
    <x v="1307"/>
    <n v="17.89"/>
    <x v="582"/>
    <d v="2025-03-28T00:00:00"/>
    <x v="0"/>
    <n v="1803.36"/>
    <n v="270.50399999999996"/>
    <n v="1532.856"/>
    <n v="2"/>
    <x v="1047"/>
    <n v="0"/>
  </r>
  <r>
    <d v="2023-08-22T00:00:00"/>
    <x v="4"/>
    <x v="4"/>
    <x v="19"/>
    <n v="461.04"/>
    <s v="Store B"/>
    <x v="1"/>
    <n v="0"/>
    <x v="1"/>
    <n v="3688.32"/>
    <x v="0"/>
    <s v="FREESHIP"/>
    <n v="0"/>
    <s v="REG101421"/>
    <x v="1308"/>
    <n v="13.62"/>
    <x v="530"/>
    <d v="2023-08-24T00:00:00"/>
    <x v="4"/>
    <n v="3688.32"/>
    <n v="0"/>
    <n v="3688.32"/>
    <n v="2"/>
    <x v="0"/>
    <n v="0"/>
  </r>
  <r>
    <d v="2024-04-16T00:00:00"/>
    <x v="1"/>
    <x v="1"/>
    <x v="16"/>
    <n v="524.19000000000005"/>
    <s v="Store D"/>
    <x v="1"/>
    <n v="0.15"/>
    <x v="2"/>
    <n v="2673.3690000000001"/>
    <x v="4"/>
    <s v="WINTER15"/>
    <n v="0"/>
    <s v="REG101422"/>
    <x v="577"/>
    <n v="31.04"/>
    <x v="683"/>
    <d v="2024-04-20T00:00:00"/>
    <x v="1"/>
    <n v="3145.1400000000003"/>
    <n v="471.77100000000002"/>
    <n v="2673.3690000000001"/>
    <n v="4"/>
    <x v="1048"/>
    <n v="0"/>
  </r>
  <r>
    <d v="2025-05-11T00:00:00"/>
    <x v="3"/>
    <x v="3"/>
    <x v="18"/>
    <n v="305.20999999999998"/>
    <s v="Store A"/>
    <x v="0"/>
    <n v="0.1"/>
    <x v="1"/>
    <n v="4395.0239999999994"/>
    <x v="3"/>
    <s v="SAVE10"/>
    <n v="0"/>
    <s v="REG101423"/>
    <x v="359"/>
    <n v="33.369999999999997"/>
    <x v="15"/>
    <d v="2025-05-19T00:00:00"/>
    <x v="3"/>
    <n v="4883.3599999999997"/>
    <n v="488.33600000000001"/>
    <n v="4395.0239999999994"/>
    <n v="8"/>
    <x v="1049"/>
    <n v="0"/>
  </r>
  <r>
    <d v="2023-12-11T00:00:00"/>
    <x v="2"/>
    <x v="6"/>
    <x v="18"/>
    <n v="438.71"/>
    <s v="Store C"/>
    <x v="1"/>
    <n v="0"/>
    <x v="1"/>
    <n v="7019.36"/>
    <x v="0"/>
    <m/>
    <n v="0"/>
    <s v="REG101424"/>
    <x v="1309"/>
    <n v="6.53"/>
    <x v="464"/>
    <d v="2023-12-21T00:00:00"/>
    <x v="2"/>
    <n v="7019.36"/>
    <n v="0"/>
    <n v="7019.36"/>
    <n v="10"/>
    <x v="0"/>
    <n v="0"/>
  </r>
  <r>
    <d v="2023-01-16T00:00:00"/>
    <x v="2"/>
    <x v="6"/>
    <x v="12"/>
    <n v="193.96"/>
    <s v="Store D"/>
    <x v="0"/>
    <n v="0.1"/>
    <x v="1"/>
    <n v="1745.64"/>
    <x v="1"/>
    <m/>
    <n v="0"/>
    <s v="REG101425"/>
    <x v="1310"/>
    <n v="41.3"/>
    <x v="375"/>
    <d v="2023-01-21T00:00:00"/>
    <x v="2"/>
    <n v="1939.6000000000001"/>
    <n v="193.96000000000004"/>
    <n v="1745.64"/>
    <n v="5"/>
    <x v="1050"/>
    <n v="0"/>
  </r>
  <r>
    <d v="2023-05-10T00:00:00"/>
    <x v="0"/>
    <x v="1"/>
    <x v="2"/>
    <n v="580.41999999999996"/>
    <s v="Store A"/>
    <x v="0"/>
    <n v="0.05"/>
    <x v="5"/>
    <n v="9925.1819999999989"/>
    <x v="0"/>
    <s v="SAVE10"/>
    <n v="0"/>
    <s v="REG101426"/>
    <x v="1311"/>
    <n v="37.81"/>
    <x v="2"/>
    <d v="2023-05-17T00:00:00"/>
    <x v="0"/>
    <n v="10447.56"/>
    <n v="522.37800000000004"/>
    <n v="9925.1819999999989"/>
    <n v="7"/>
    <x v="1051"/>
    <n v="0"/>
  </r>
  <r>
    <d v="2024-06-22T00:00:00"/>
    <x v="3"/>
    <x v="4"/>
    <x v="2"/>
    <n v="91.55"/>
    <s v="Store C"/>
    <x v="1"/>
    <n v="0.1"/>
    <x v="1"/>
    <n v="1483.11"/>
    <x v="3"/>
    <s v="FREESHIP"/>
    <n v="0"/>
    <s v="REG101427"/>
    <x v="1312"/>
    <n v="32.54"/>
    <x v="728"/>
    <d v="2024-06-29T00:00:00"/>
    <x v="3"/>
    <n v="1647.8999999999999"/>
    <n v="164.79"/>
    <n v="1483.11"/>
    <n v="7"/>
    <x v="1052"/>
    <n v="0"/>
  </r>
  <r>
    <d v="2025-03-29T00:00:00"/>
    <x v="4"/>
    <x v="5"/>
    <x v="14"/>
    <n v="113.78"/>
    <s v="Store C"/>
    <x v="0"/>
    <n v="0.1"/>
    <x v="0"/>
    <n v="1331.2260000000001"/>
    <x v="0"/>
    <s v="FREESHIP"/>
    <n v="0"/>
    <s v="REG101428"/>
    <x v="1313"/>
    <n v="28.07"/>
    <x v="259"/>
    <d v="2025-04-07T00:00:00"/>
    <x v="4"/>
    <n v="1479.14"/>
    <n v="147.91400000000002"/>
    <n v="1331.2260000000001"/>
    <n v="9"/>
    <x v="1053"/>
    <n v="0"/>
  </r>
  <r>
    <d v="2023-04-18T00:00:00"/>
    <x v="2"/>
    <x v="5"/>
    <x v="18"/>
    <n v="477.91"/>
    <s v="Store A"/>
    <x v="0"/>
    <n v="0"/>
    <x v="3"/>
    <n v="7646.56"/>
    <x v="2"/>
    <s v="WINTER15"/>
    <n v="0"/>
    <s v="REG101429"/>
    <x v="1314"/>
    <n v="21.89"/>
    <x v="625"/>
    <d v="2023-04-23T00:00:00"/>
    <x v="2"/>
    <n v="7646.56"/>
    <n v="0"/>
    <n v="7646.56"/>
    <n v="5"/>
    <x v="0"/>
    <n v="0"/>
  </r>
  <r>
    <d v="2023-02-07T00:00:00"/>
    <x v="3"/>
    <x v="0"/>
    <x v="0"/>
    <n v="306.39"/>
    <s v="Store A"/>
    <x v="1"/>
    <n v="0.1"/>
    <x v="0"/>
    <n v="3860.5140000000001"/>
    <x v="4"/>
    <s v="WINTER15"/>
    <n v="0"/>
    <s v="REG101430"/>
    <x v="1315"/>
    <n v="38.729999999999997"/>
    <x v="230"/>
    <d v="2023-02-09T00:00:00"/>
    <x v="3"/>
    <n v="4289.46"/>
    <n v="428.94600000000003"/>
    <n v="3860.5140000000001"/>
    <n v="2"/>
    <x v="1054"/>
    <n v="0"/>
  </r>
  <r>
    <d v="2025-01-22T00:00:00"/>
    <x v="0"/>
    <x v="5"/>
    <x v="9"/>
    <n v="8.33"/>
    <s v="Store A"/>
    <x v="1"/>
    <n v="0.05"/>
    <x v="0"/>
    <n v="134.52950000000001"/>
    <x v="4"/>
    <m/>
    <n v="0"/>
    <s v="REG101431"/>
    <x v="1316"/>
    <n v="43.29"/>
    <x v="729"/>
    <d v="2025-01-25T00:00:00"/>
    <x v="0"/>
    <n v="141.61000000000001"/>
    <n v="7.0805000000000007"/>
    <n v="134.52950000000001"/>
    <n v="3"/>
    <x v="1055"/>
    <n v="0"/>
  </r>
  <r>
    <d v="2023-07-04T00:00:00"/>
    <x v="0"/>
    <x v="1"/>
    <x v="16"/>
    <n v="346.86"/>
    <s v="Store C"/>
    <x v="1"/>
    <n v="0.05"/>
    <x v="0"/>
    <n v="1977.1020000000001"/>
    <x v="1"/>
    <s v="FREESHIP"/>
    <n v="0"/>
    <s v="REG101432"/>
    <x v="1317"/>
    <n v="29.18"/>
    <x v="250"/>
    <d v="2023-07-12T00:00:00"/>
    <x v="0"/>
    <n v="2081.16"/>
    <n v="104.05799999999999"/>
    <n v="1977.1019999999999"/>
    <n v="8"/>
    <x v="1056"/>
    <n v="0"/>
  </r>
  <r>
    <d v="2023-07-31T00:00:00"/>
    <x v="3"/>
    <x v="2"/>
    <x v="0"/>
    <n v="223.26"/>
    <s v="Store B"/>
    <x v="0"/>
    <n v="0.1"/>
    <x v="1"/>
    <n v="2813.076"/>
    <x v="2"/>
    <s v="WINTER15"/>
    <n v="0"/>
    <s v="REG101433"/>
    <x v="1318"/>
    <n v="12.88"/>
    <x v="65"/>
    <d v="2023-08-03T00:00:00"/>
    <x v="3"/>
    <n v="3125.64"/>
    <n v="312.56400000000002"/>
    <n v="2813.076"/>
    <n v="3"/>
    <x v="1057"/>
    <n v="0"/>
  </r>
  <r>
    <d v="2023-04-20T00:00:00"/>
    <x v="2"/>
    <x v="2"/>
    <x v="16"/>
    <n v="529.1"/>
    <s v="Store D"/>
    <x v="0"/>
    <n v="0"/>
    <x v="0"/>
    <n v="3174.6"/>
    <x v="3"/>
    <s v="WINTER15"/>
    <n v="0"/>
    <s v="REG101434"/>
    <x v="1319"/>
    <n v="5.13"/>
    <x v="730"/>
    <d v="2023-04-27T00:00:00"/>
    <x v="2"/>
    <n v="3174.6000000000004"/>
    <n v="0"/>
    <n v="3174.6000000000004"/>
    <n v="7"/>
    <x v="0"/>
    <n v="0"/>
  </r>
  <r>
    <d v="2024-10-08T00:00:00"/>
    <x v="3"/>
    <x v="5"/>
    <x v="10"/>
    <n v="97.34"/>
    <s v="Store D"/>
    <x v="0"/>
    <n v="0.1"/>
    <x v="3"/>
    <n v="963.66600000000005"/>
    <x v="3"/>
    <s v="SAVE10"/>
    <n v="0"/>
    <s v="REG101435"/>
    <x v="1320"/>
    <n v="10.61"/>
    <x v="485"/>
    <d v="2024-10-11T00:00:00"/>
    <x v="3"/>
    <n v="1070.74"/>
    <n v="107.07400000000001"/>
    <n v="963.66599999999994"/>
    <n v="3"/>
    <x v="1058"/>
    <n v="0"/>
  </r>
  <r>
    <d v="2024-01-25T00:00:00"/>
    <x v="0"/>
    <x v="3"/>
    <x v="10"/>
    <n v="422.89"/>
    <s v="Store B"/>
    <x v="1"/>
    <n v="0.1"/>
    <x v="2"/>
    <n v="4186.6109999999999"/>
    <x v="2"/>
    <s v="SAVE10"/>
    <n v="0"/>
    <s v="REG101436"/>
    <x v="1321"/>
    <n v="45.89"/>
    <x v="109"/>
    <d v="2024-01-27T00:00:00"/>
    <x v="0"/>
    <n v="4651.79"/>
    <n v="465.17900000000003"/>
    <n v="4186.6109999999999"/>
    <n v="2"/>
    <x v="1059"/>
    <n v="0"/>
  </r>
  <r>
    <d v="2024-12-16T00:00:00"/>
    <x v="1"/>
    <x v="4"/>
    <x v="15"/>
    <n v="557.16999999999996"/>
    <s v="Store C"/>
    <x v="0"/>
    <n v="0.05"/>
    <x v="2"/>
    <n v="2117.2460000000001"/>
    <x v="2"/>
    <m/>
    <n v="0"/>
    <s v="REG101437"/>
    <x v="1322"/>
    <n v="32.159999999999997"/>
    <x v="284"/>
    <d v="2024-12-25T00:00:00"/>
    <x v="1"/>
    <n v="2228.6799999999998"/>
    <n v="111.434"/>
    <n v="2117.2459999999996"/>
    <n v="9"/>
    <x v="1060"/>
    <n v="0"/>
  </r>
  <r>
    <d v="2024-10-24T00:00:00"/>
    <x v="3"/>
    <x v="6"/>
    <x v="17"/>
    <n v="459.65"/>
    <s v="Store B"/>
    <x v="1"/>
    <n v="0.1"/>
    <x v="5"/>
    <n v="3723.165"/>
    <x v="1"/>
    <s v="WINTER15"/>
    <n v="1"/>
    <s v="REG101438"/>
    <x v="10"/>
    <n v="22.24"/>
    <x v="408"/>
    <d v="2024-11-01T00:00:00"/>
    <x v="3"/>
    <n v="4136.8499999999995"/>
    <n v="413.68499999999995"/>
    <n v="3723.1649999999995"/>
    <n v="8"/>
    <x v="58"/>
    <n v="0"/>
  </r>
  <r>
    <d v="2023-11-16T00:00:00"/>
    <x v="4"/>
    <x v="4"/>
    <x v="19"/>
    <n v="493.35"/>
    <s v="Store A"/>
    <x v="1"/>
    <n v="0.1"/>
    <x v="1"/>
    <n v="3552.12"/>
    <x v="4"/>
    <s v="FREESHIP"/>
    <n v="1"/>
    <s v="REG101439"/>
    <x v="1323"/>
    <n v="12.86"/>
    <x v="346"/>
    <d v="2023-11-20T00:00:00"/>
    <x v="4"/>
    <n v="3946.8"/>
    <n v="394.68000000000006"/>
    <n v="3552.12"/>
    <n v="4"/>
    <x v="1061"/>
    <n v="0"/>
  </r>
  <r>
    <d v="2024-03-31T00:00:00"/>
    <x v="1"/>
    <x v="0"/>
    <x v="14"/>
    <n v="428.59"/>
    <s v="Store D"/>
    <x v="1"/>
    <n v="0"/>
    <x v="5"/>
    <n v="5571.67"/>
    <x v="4"/>
    <s v="FREESHIP"/>
    <n v="0"/>
    <s v="REG101440"/>
    <x v="1324"/>
    <n v="23.89"/>
    <x v="199"/>
    <d v="2024-04-08T00:00:00"/>
    <x v="1"/>
    <n v="5571.67"/>
    <n v="0"/>
    <n v="5571.67"/>
    <n v="8"/>
    <x v="0"/>
    <n v="0"/>
  </r>
  <r>
    <d v="2023-02-13T00:00:00"/>
    <x v="0"/>
    <x v="0"/>
    <x v="4"/>
    <n v="242.11"/>
    <s v="Store C"/>
    <x v="0"/>
    <n v="0.05"/>
    <x v="0"/>
    <n v="1610.0315000000001"/>
    <x v="3"/>
    <s v="WINTER15"/>
    <n v="0"/>
    <s v="REG101441"/>
    <x v="824"/>
    <n v="47.19"/>
    <x v="278"/>
    <d v="2023-02-18T00:00:00"/>
    <x v="0"/>
    <n v="1694.77"/>
    <n v="84.738500000000002"/>
    <n v="1610.0315000000001"/>
    <n v="5"/>
    <x v="1062"/>
    <n v="0"/>
  </r>
  <r>
    <d v="2023-09-20T00:00:00"/>
    <x v="1"/>
    <x v="5"/>
    <x v="9"/>
    <n v="477.38"/>
    <s v="Store C"/>
    <x v="1"/>
    <n v="0.05"/>
    <x v="1"/>
    <n v="7709.6869999999999"/>
    <x v="1"/>
    <s v="FREESHIP"/>
    <n v="0"/>
    <s v="REG101442"/>
    <x v="1325"/>
    <n v="35.28"/>
    <x v="567"/>
    <d v="2023-09-27T00:00:00"/>
    <x v="1"/>
    <n v="8115.46"/>
    <n v="405.77300000000002"/>
    <n v="7709.6869999999999"/>
    <n v="7"/>
    <x v="1063"/>
    <n v="0"/>
  </r>
  <r>
    <d v="2023-06-27T00:00:00"/>
    <x v="1"/>
    <x v="3"/>
    <x v="5"/>
    <n v="261.60000000000002"/>
    <s v="Store D"/>
    <x v="1"/>
    <n v="0.05"/>
    <x v="4"/>
    <n v="745.56000000000006"/>
    <x v="4"/>
    <s v="WINTER15"/>
    <n v="0"/>
    <s v="REG101443"/>
    <x v="1326"/>
    <n v="42.11"/>
    <x v="161"/>
    <d v="2023-07-07T00:00:00"/>
    <x v="1"/>
    <n v="784.80000000000007"/>
    <n v="39.240000000000009"/>
    <n v="745.56000000000006"/>
    <n v="10"/>
    <x v="1064"/>
    <n v="0"/>
  </r>
  <r>
    <d v="2025-04-02T00:00:00"/>
    <x v="3"/>
    <x v="0"/>
    <x v="16"/>
    <n v="416.2"/>
    <s v="Store A"/>
    <x v="0"/>
    <n v="0.05"/>
    <x v="1"/>
    <n v="2372.34"/>
    <x v="4"/>
    <s v="WINTER15"/>
    <n v="1"/>
    <s v="REG101444"/>
    <x v="1327"/>
    <n v="44.14"/>
    <x v="177"/>
    <d v="2025-04-06T00:00:00"/>
    <x v="3"/>
    <n v="2497.1999999999998"/>
    <n v="124.86"/>
    <n v="2372.3399999999997"/>
    <n v="4"/>
    <x v="1065"/>
    <n v="0"/>
  </r>
  <r>
    <d v="2025-04-16T00:00:00"/>
    <x v="2"/>
    <x v="6"/>
    <x v="7"/>
    <n v="99.66"/>
    <s v="Store A"/>
    <x v="0"/>
    <n v="0"/>
    <x v="0"/>
    <n v="1494.9"/>
    <x v="4"/>
    <s v="FREESHIP"/>
    <n v="0"/>
    <s v="REG101445"/>
    <x v="1328"/>
    <n v="27.55"/>
    <x v="454"/>
    <d v="2025-04-26T00:00:00"/>
    <x v="2"/>
    <n v="1494.8999999999999"/>
    <n v="0"/>
    <n v="1494.8999999999999"/>
    <n v="10"/>
    <x v="0"/>
    <n v="0"/>
  </r>
  <r>
    <d v="2024-07-09T00:00:00"/>
    <x v="3"/>
    <x v="0"/>
    <x v="18"/>
    <n v="55.56"/>
    <s v="Store D"/>
    <x v="0"/>
    <n v="0.15"/>
    <x v="2"/>
    <n v="755.61599999999999"/>
    <x v="4"/>
    <m/>
    <n v="1"/>
    <s v="REG101446"/>
    <x v="1329"/>
    <n v="17.809999999999999"/>
    <x v="540"/>
    <d v="2024-07-17T00:00:00"/>
    <x v="3"/>
    <n v="888.96"/>
    <n v="133.34399999999999"/>
    <n v="755.61599999999999"/>
    <n v="8"/>
    <x v="1066"/>
    <n v="0"/>
  </r>
  <r>
    <d v="2025-06-23T00:00:00"/>
    <x v="0"/>
    <x v="1"/>
    <x v="11"/>
    <n v="243.47"/>
    <s v="Store A"/>
    <x v="0"/>
    <n v="0.05"/>
    <x v="1"/>
    <n v="4625.9299999999994"/>
    <x v="1"/>
    <s v="FREESHIP"/>
    <n v="1"/>
    <s v="REG101447"/>
    <x v="1196"/>
    <n v="32.28"/>
    <x v="731"/>
    <d v="2025-07-03T00:00:00"/>
    <x v="0"/>
    <n v="4869.3999999999996"/>
    <n v="243.47"/>
    <n v="4625.9299999999994"/>
    <n v="10"/>
    <x v="1067"/>
    <n v="0"/>
  </r>
  <r>
    <d v="2024-06-09T00:00:00"/>
    <x v="0"/>
    <x v="5"/>
    <x v="10"/>
    <n v="185.59"/>
    <s v="Store B"/>
    <x v="1"/>
    <n v="0.1"/>
    <x v="3"/>
    <n v="1837.3409999999999"/>
    <x v="1"/>
    <m/>
    <n v="0"/>
    <s v="REG101448"/>
    <x v="776"/>
    <n v="45.19"/>
    <x v="732"/>
    <d v="2024-06-18T00:00:00"/>
    <x v="0"/>
    <n v="2041.49"/>
    <n v="204.149"/>
    <n v="1837.3409999999999"/>
    <n v="9"/>
    <x v="1068"/>
    <n v="0"/>
  </r>
  <r>
    <d v="2023-12-01T00:00:00"/>
    <x v="3"/>
    <x v="2"/>
    <x v="10"/>
    <n v="347.38"/>
    <s v="Store C"/>
    <x v="0"/>
    <n v="0.05"/>
    <x v="0"/>
    <n v="3630.1210000000001"/>
    <x v="2"/>
    <s v="FREESHIP"/>
    <n v="0"/>
    <s v="REG101449"/>
    <x v="1330"/>
    <n v="24.8"/>
    <x v="112"/>
    <d v="2023-12-03T00:00:00"/>
    <x v="3"/>
    <n v="3821.18"/>
    <n v="191.059"/>
    <n v="3630.1209999999996"/>
    <n v="2"/>
    <x v="1069"/>
    <n v="0"/>
  </r>
  <r>
    <d v="2024-07-24T00:00:00"/>
    <x v="4"/>
    <x v="5"/>
    <x v="7"/>
    <n v="318.02999999999997"/>
    <s v="Store D"/>
    <x v="1"/>
    <n v="0.05"/>
    <x v="4"/>
    <n v="4531.9274999999998"/>
    <x v="1"/>
    <s v="WINTER15"/>
    <n v="1"/>
    <s v="REG101450"/>
    <x v="1331"/>
    <n v="24.38"/>
    <x v="733"/>
    <d v="2024-07-30T00:00:00"/>
    <x v="4"/>
    <n v="4770.45"/>
    <n v="238.52250000000001"/>
    <n v="4531.9274999999998"/>
    <n v="6"/>
    <x v="1070"/>
    <n v="0"/>
  </r>
  <r>
    <d v="2023-04-12T00:00:00"/>
    <x v="4"/>
    <x v="3"/>
    <x v="7"/>
    <n v="242.35"/>
    <s v="Store D"/>
    <x v="0"/>
    <n v="0.15"/>
    <x v="4"/>
    <n v="3089.9625000000001"/>
    <x v="4"/>
    <s v="WINTER15"/>
    <n v="1"/>
    <s v="REG101451"/>
    <x v="957"/>
    <n v="14.92"/>
    <x v="264"/>
    <d v="2023-04-19T00:00:00"/>
    <x v="4"/>
    <n v="3635.25"/>
    <n v="545.28750000000002"/>
    <n v="3089.9625000000001"/>
    <n v="7"/>
    <x v="1071"/>
    <n v="0"/>
  </r>
  <r>
    <d v="2024-12-17T00:00:00"/>
    <x v="2"/>
    <x v="2"/>
    <x v="5"/>
    <n v="82.09"/>
    <s v="Store B"/>
    <x v="1"/>
    <n v="0.15"/>
    <x v="0"/>
    <n v="209.3295"/>
    <x v="1"/>
    <s v="WINTER15"/>
    <n v="1"/>
    <s v="REG101452"/>
    <x v="1332"/>
    <n v="12.63"/>
    <x v="441"/>
    <d v="2024-12-26T00:00:00"/>
    <x v="2"/>
    <n v="246.27"/>
    <n v="36.9405"/>
    <n v="209.3295"/>
    <n v="9"/>
    <x v="1072"/>
    <n v="0"/>
  </r>
  <r>
    <d v="2024-08-08T00:00:00"/>
    <x v="1"/>
    <x v="4"/>
    <x v="12"/>
    <n v="285.73"/>
    <s v="Store D"/>
    <x v="0"/>
    <n v="0.15"/>
    <x v="0"/>
    <n v="2428.7049999999999"/>
    <x v="4"/>
    <s v="WINTER15"/>
    <n v="1"/>
    <s v="REG101453"/>
    <x v="1333"/>
    <n v="26.68"/>
    <x v="669"/>
    <d v="2024-08-14T00:00:00"/>
    <x v="1"/>
    <n v="2857.3"/>
    <n v="428.59500000000003"/>
    <n v="2428.7049999999999"/>
    <n v="6"/>
    <x v="1073"/>
    <n v="0"/>
  </r>
  <r>
    <d v="2024-09-15T00:00:00"/>
    <x v="0"/>
    <x v="0"/>
    <x v="9"/>
    <n v="341.52"/>
    <s v="Store C"/>
    <x v="0"/>
    <n v="0.1"/>
    <x v="0"/>
    <n v="5225.2560000000003"/>
    <x v="2"/>
    <s v="FREESHIP"/>
    <n v="0"/>
    <s v="REG101454"/>
    <x v="1168"/>
    <n v="16.670000000000002"/>
    <x v="564"/>
    <d v="2024-09-22T00:00:00"/>
    <x v="0"/>
    <n v="5805.84"/>
    <n v="580.58400000000006"/>
    <n v="5225.2560000000003"/>
    <n v="7"/>
    <x v="1074"/>
    <n v="0"/>
  </r>
  <r>
    <d v="2023-10-08T00:00:00"/>
    <x v="1"/>
    <x v="5"/>
    <x v="0"/>
    <n v="216.4"/>
    <s v="Store D"/>
    <x v="0"/>
    <n v="0.1"/>
    <x v="4"/>
    <n v="2726.64"/>
    <x v="3"/>
    <s v="WINTER15"/>
    <n v="0"/>
    <s v="REG101455"/>
    <x v="1266"/>
    <n v="40.74"/>
    <x v="734"/>
    <d v="2023-10-10T00:00:00"/>
    <x v="1"/>
    <n v="3029.6"/>
    <n v="302.95999999999998"/>
    <n v="2726.64"/>
    <n v="2"/>
    <x v="1075"/>
    <n v="0"/>
  </r>
  <r>
    <d v="2025-05-23T00:00:00"/>
    <x v="1"/>
    <x v="1"/>
    <x v="18"/>
    <n v="231.76"/>
    <s v="Store B"/>
    <x v="1"/>
    <n v="0.15"/>
    <x v="5"/>
    <n v="3151.9360000000001"/>
    <x v="0"/>
    <s v="WINTER15"/>
    <n v="1"/>
    <s v="REG101456"/>
    <x v="1334"/>
    <n v="9.42"/>
    <x v="549"/>
    <d v="2025-05-27T00:00:00"/>
    <x v="1"/>
    <n v="3708.16"/>
    <n v="556.22399999999993"/>
    <n v="3151.9359999999997"/>
    <n v="4"/>
    <x v="1076"/>
    <n v="0"/>
  </r>
  <r>
    <d v="2023-01-02T00:00:00"/>
    <x v="1"/>
    <x v="0"/>
    <x v="4"/>
    <n v="61.47"/>
    <s v="Store C"/>
    <x v="1"/>
    <n v="0.15"/>
    <x v="0"/>
    <n v="365.74650000000003"/>
    <x v="0"/>
    <s v="FREESHIP"/>
    <n v="0"/>
    <s v="REG101457"/>
    <x v="1335"/>
    <n v="14.44"/>
    <x v="735"/>
    <d v="2023-01-12T00:00:00"/>
    <x v="1"/>
    <n v="430.28999999999996"/>
    <n v="64.543499999999995"/>
    <n v="365.74649999999997"/>
    <n v="10"/>
    <x v="1077"/>
    <n v="0"/>
  </r>
  <r>
    <d v="2023-10-19T00:00:00"/>
    <x v="2"/>
    <x v="2"/>
    <x v="7"/>
    <n v="434.44"/>
    <s v="Store B"/>
    <x v="0"/>
    <n v="0"/>
    <x v="5"/>
    <n v="6516.6"/>
    <x v="3"/>
    <m/>
    <n v="1"/>
    <s v="REG101458"/>
    <x v="1336"/>
    <n v="33.86"/>
    <x v="544"/>
    <d v="2023-10-28T00:00:00"/>
    <x v="2"/>
    <n v="6516.6"/>
    <n v="0"/>
    <n v="6516.6"/>
    <n v="9"/>
    <x v="0"/>
    <n v="0"/>
  </r>
  <r>
    <d v="2025-04-25T00:00:00"/>
    <x v="4"/>
    <x v="3"/>
    <x v="18"/>
    <n v="484.01"/>
    <s v="Store A"/>
    <x v="0"/>
    <n v="0"/>
    <x v="1"/>
    <n v="7744.16"/>
    <x v="0"/>
    <s v="SAVE10"/>
    <n v="1"/>
    <s v="REG101459"/>
    <x v="1337"/>
    <n v="9.65"/>
    <x v="659"/>
    <d v="2025-05-01T00:00:00"/>
    <x v="4"/>
    <n v="7744.16"/>
    <n v="0"/>
    <n v="7744.16"/>
    <n v="6"/>
    <x v="0"/>
    <n v="0"/>
  </r>
  <r>
    <d v="2024-03-31T00:00:00"/>
    <x v="3"/>
    <x v="2"/>
    <x v="3"/>
    <n v="55.08"/>
    <s v="Store C"/>
    <x v="0"/>
    <n v="0"/>
    <x v="2"/>
    <n v="110.16"/>
    <x v="2"/>
    <s v="FREESHIP"/>
    <n v="0"/>
    <s v="REG101460"/>
    <x v="1338"/>
    <n v="9.85"/>
    <x v="199"/>
    <d v="2024-04-04T00:00:00"/>
    <x v="3"/>
    <n v="110.16"/>
    <n v="0"/>
    <n v="110.16"/>
    <n v="4"/>
    <x v="0"/>
    <n v="0"/>
  </r>
  <r>
    <d v="2025-01-31T00:00:00"/>
    <x v="2"/>
    <x v="6"/>
    <x v="14"/>
    <n v="223.44"/>
    <s v="Store B"/>
    <x v="1"/>
    <n v="0.15"/>
    <x v="3"/>
    <n v="2469.0120000000002"/>
    <x v="2"/>
    <m/>
    <n v="1"/>
    <s v="REG101461"/>
    <x v="1339"/>
    <n v="38.46"/>
    <x v="94"/>
    <d v="2025-02-07T00:00:00"/>
    <x v="2"/>
    <n v="2904.72"/>
    <n v="435.70799999999997"/>
    <n v="2469.0119999999997"/>
    <n v="7"/>
    <x v="1078"/>
    <n v="0"/>
  </r>
  <r>
    <d v="2025-03-27T00:00:00"/>
    <x v="0"/>
    <x v="1"/>
    <x v="10"/>
    <n v="548.08000000000004"/>
    <s v="Store D"/>
    <x v="0"/>
    <n v="0.05"/>
    <x v="0"/>
    <n v="5727.4359999999997"/>
    <x v="4"/>
    <m/>
    <n v="0"/>
    <s v="REG101462"/>
    <x v="1340"/>
    <n v="25.82"/>
    <x v="166"/>
    <d v="2025-04-06T00:00:00"/>
    <x v="0"/>
    <n v="6028.88"/>
    <n v="301.44400000000002"/>
    <n v="5727.4359999999997"/>
    <n v="10"/>
    <x v="1079"/>
    <n v="0"/>
  </r>
  <r>
    <d v="2025-01-19T00:00:00"/>
    <x v="3"/>
    <x v="2"/>
    <x v="10"/>
    <n v="133.63999999999999"/>
    <s v="Store D"/>
    <x v="0"/>
    <n v="0"/>
    <x v="4"/>
    <n v="1470.04"/>
    <x v="3"/>
    <m/>
    <n v="1"/>
    <s v="REG101463"/>
    <x v="1013"/>
    <n v="30.18"/>
    <x v="423"/>
    <d v="2025-01-24T00:00:00"/>
    <x v="3"/>
    <n v="1470.04"/>
    <n v="0"/>
    <n v="1470.04"/>
    <n v="5"/>
    <x v="0"/>
    <n v="0"/>
  </r>
  <r>
    <d v="2024-05-16T00:00:00"/>
    <x v="2"/>
    <x v="3"/>
    <x v="8"/>
    <n v="368.85"/>
    <s v="Store C"/>
    <x v="1"/>
    <n v="0.1"/>
    <x v="5"/>
    <n v="6307.3350000000009"/>
    <x v="1"/>
    <s v="FREESHIP"/>
    <n v="0"/>
    <s v="REG101464"/>
    <x v="1341"/>
    <n v="35.369999999999997"/>
    <x v="494"/>
    <d v="2024-05-21T00:00:00"/>
    <x v="2"/>
    <n v="7008.1500000000005"/>
    <n v="700.81500000000005"/>
    <n v="6307.3350000000009"/>
    <n v="5"/>
    <x v="1080"/>
    <n v="0"/>
  </r>
  <r>
    <d v="2023-09-04T00:00:00"/>
    <x v="3"/>
    <x v="3"/>
    <x v="0"/>
    <n v="115.98"/>
    <s v="Store A"/>
    <x v="0"/>
    <n v="0"/>
    <x v="5"/>
    <n v="1623.72"/>
    <x v="3"/>
    <m/>
    <n v="0"/>
    <s v="REG101465"/>
    <x v="1342"/>
    <n v="31.85"/>
    <x v="736"/>
    <d v="2023-09-06T00:00:00"/>
    <x v="3"/>
    <n v="1623.72"/>
    <n v="0"/>
    <n v="1623.72"/>
    <n v="2"/>
    <x v="0"/>
    <n v="0"/>
  </r>
  <r>
    <d v="2023-12-17T00:00:00"/>
    <x v="1"/>
    <x v="4"/>
    <x v="17"/>
    <n v="55.04"/>
    <s v="Store B"/>
    <x v="1"/>
    <n v="0.15"/>
    <x v="1"/>
    <n v="421.05599999999998"/>
    <x v="0"/>
    <m/>
    <n v="0"/>
    <s v="REG101466"/>
    <x v="1343"/>
    <n v="31.09"/>
    <x v="737"/>
    <d v="2023-12-23T00:00:00"/>
    <x v="1"/>
    <n v="495.36"/>
    <n v="74.304000000000002"/>
    <n v="421.05600000000004"/>
    <n v="6"/>
    <x v="1081"/>
    <n v="0"/>
  </r>
  <r>
    <d v="2024-01-15T00:00:00"/>
    <x v="3"/>
    <x v="4"/>
    <x v="15"/>
    <n v="159.54"/>
    <s v="Store A"/>
    <x v="0"/>
    <n v="0.05"/>
    <x v="1"/>
    <n v="606.25199999999995"/>
    <x v="2"/>
    <s v="FREESHIP"/>
    <n v="0"/>
    <s v="REG101467"/>
    <x v="1344"/>
    <n v="32.36"/>
    <x v="481"/>
    <d v="2024-01-21T00:00:00"/>
    <x v="3"/>
    <n v="638.16"/>
    <n v="31.908000000000001"/>
    <n v="606.25199999999995"/>
    <n v="6"/>
    <x v="1082"/>
    <n v="0"/>
  </r>
  <r>
    <d v="2024-12-19T00:00:00"/>
    <x v="3"/>
    <x v="0"/>
    <x v="7"/>
    <n v="150.15"/>
    <s v="Store C"/>
    <x v="1"/>
    <n v="0"/>
    <x v="2"/>
    <n v="2252.25"/>
    <x v="0"/>
    <s v="WINTER15"/>
    <n v="0"/>
    <s v="REG101468"/>
    <x v="1345"/>
    <n v="35.94"/>
    <x v="1"/>
    <d v="2024-12-29T00:00:00"/>
    <x v="3"/>
    <n v="2252.25"/>
    <n v="0"/>
    <n v="2252.25"/>
    <n v="10"/>
    <x v="0"/>
    <n v="0"/>
  </r>
  <r>
    <d v="2023-12-16T00:00:00"/>
    <x v="2"/>
    <x v="3"/>
    <x v="17"/>
    <n v="57.93"/>
    <s v="Store C"/>
    <x v="0"/>
    <n v="0"/>
    <x v="5"/>
    <n v="521.37"/>
    <x v="1"/>
    <s v="FREESHIP"/>
    <n v="1"/>
    <s v="REG101469"/>
    <x v="351"/>
    <n v="28.73"/>
    <x v="77"/>
    <d v="2023-12-18T00:00:00"/>
    <x v="2"/>
    <n v="521.37"/>
    <n v="0"/>
    <n v="521.37"/>
    <n v="2"/>
    <x v="0"/>
    <n v="0"/>
  </r>
  <r>
    <d v="2025-05-14T00:00:00"/>
    <x v="3"/>
    <x v="0"/>
    <x v="15"/>
    <n v="438.58"/>
    <s v="Store D"/>
    <x v="1"/>
    <n v="0.05"/>
    <x v="1"/>
    <n v="1666.604"/>
    <x v="0"/>
    <s v="WINTER15"/>
    <n v="0"/>
    <s v="REG101470"/>
    <x v="1346"/>
    <n v="5.0999999999999996"/>
    <x v="707"/>
    <d v="2025-05-18T00:00:00"/>
    <x v="3"/>
    <n v="1754.32"/>
    <n v="87.716000000000008"/>
    <n v="1666.6039999999998"/>
    <n v="4"/>
    <x v="1083"/>
    <n v="0"/>
  </r>
  <r>
    <d v="2023-06-30T00:00:00"/>
    <x v="1"/>
    <x v="4"/>
    <x v="16"/>
    <n v="536.24"/>
    <s v="Store D"/>
    <x v="1"/>
    <n v="0"/>
    <x v="4"/>
    <n v="3217.44"/>
    <x v="4"/>
    <s v="WINTER15"/>
    <n v="0"/>
    <s v="REG101471"/>
    <x v="702"/>
    <n v="35.32"/>
    <x v="43"/>
    <d v="2023-07-02T00:00:00"/>
    <x v="1"/>
    <n v="3217.44"/>
    <n v="0"/>
    <n v="3217.44"/>
    <n v="2"/>
    <x v="0"/>
    <n v="0"/>
  </r>
  <r>
    <d v="2025-06-30T00:00:00"/>
    <x v="1"/>
    <x v="1"/>
    <x v="11"/>
    <n v="444.77"/>
    <s v="Store B"/>
    <x v="0"/>
    <n v="0.1"/>
    <x v="4"/>
    <n v="8005.86"/>
    <x v="0"/>
    <m/>
    <n v="1"/>
    <s v="REG101472"/>
    <x v="1347"/>
    <n v="20.05"/>
    <x v="148"/>
    <d v="2025-07-07T00:00:00"/>
    <x v="1"/>
    <n v="8895.4"/>
    <n v="889.54"/>
    <n v="8005.86"/>
    <n v="7"/>
    <x v="1084"/>
    <n v="0"/>
  </r>
  <r>
    <d v="2025-03-14T00:00:00"/>
    <x v="3"/>
    <x v="6"/>
    <x v="12"/>
    <n v="212.1"/>
    <s v="Store B"/>
    <x v="1"/>
    <n v="0.15"/>
    <x v="0"/>
    <n v="1802.85"/>
    <x v="1"/>
    <s v="WINTER15"/>
    <n v="0"/>
    <s v="REG101473"/>
    <x v="1348"/>
    <n v="47.93"/>
    <x v="95"/>
    <d v="2025-03-22T00:00:00"/>
    <x v="3"/>
    <n v="2121"/>
    <n v="318.14999999999998"/>
    <n v="1802.85"/>
    <n v="8"/>
    <x v="1085"/>
    <n v="0"/>
  </r>
  <r>
    <d v="2023-04-18T00:00:00"/>
    <x v="1"/>
    <x v="1"/>
    <x v="17"/>
    <n v="509.44"/>
    <s v="Store B"/>
    <x v="1"/>
    <n v="0.15"/>
    <x v="0"/>
    <n v="3897.2159999999999"/>
    <x v="2"/>
    <s v="SAVE10"/>
    <n v="0"/>
    <s v="REG101474"/>
    <x v="1349"/>
    <n v="13"/>
    <x v="625"/>
    <d v="2023-04-27T00:00:00"/>
    <x v="1"/>
    <n v="4584.96"/>
    <n v="687.74400000000003"/>
    <n v="3897.2159999999999"/>
    <n v="9"/>
    <x v="1086"/>
    <n v="0"/>
  </r>
  <r>
    <d v="2024-09-11T00:00:00"/>
    <x v="4"/>
    <x v="4"/>
    <x v="19"/>
    <n v="236.17"/>
    <s v="Store C"/>
    <x v="0"/>
    <n v="0.15"/>
    <x v="2"/>
    <n v="1605.9559999999999"/>
    <x v="4"/>
    <s v="WINTER15"/>
    <n v="0"/>
    <s v="REG101475"/>
    <x v="1350"/>
    <n v="22.88"/>
    <x v="303"/>
    <d v="2024-09-19T00:00:00"/>
    <x v="4"/>
    <n v="1889.36"/>
    <n v="283.404"/>
    <n v="1605.9559999999999"/>
    <n v="8"/>
    <x v="1087"/>
    <n v="0"/>
  </r>
  <r>
    <d v="2023-11-21T00:00:00"/>
    <x v="3"/>
    <x v="6"/>
    <x v="1"/>
    <n v="147.4"/>
    <s v="Store D"/>
    <x v="1"/>
    <n v="0"/>
    <x v="3"/>
    <n v="147.4"/>
    <x v="4"/>
    <s v="SAVE10"/>
    <n v="1"/>
    <s v="REG101476"/>
    <x v="672"/>
    <n v="40.47"/>
    <x v="283"/>
    <d v="2023-11-28T00:00:00"/>
    <x v="3"/>
    <n v="147.4"/>
    <n v="0"/>
    <n v="147.4"/>
    <n v="7"/>
    <x v="0"/>
    <n v="0"/>
  </r>
  <r>
    <d v="2024-02-29T00:00:00"/>
    <x v="4"/>
    <x v="5"/>
    <x v="19"/>
    <n v="279.74"/>
    <s v="Store B"/>
    <x v="1"/>
    <n v="0.05"/>
    <x v="1"/>
    <n v="2126.0239999999999"/>
    <x v="1"/>
    <s v="FREESHIP"/>
    <n v="0"/>
    <s v="REG101477"/>
    <x v="583"/>
    <n v="33.1"/>
    <x v="459"/>
    <d v="2024-03-07T00:00:00"/>
    <x v="4"/>
    <n v="2237.92"/>
    <n v="111.89600000000002"/>
    <n v="2126.0239999999999"/>
    <n v="7"/>
    <x v="1088"/>
    <n v="0"/>
  </r>
  <r>
    <d v="2023-05-11T00:00:00"/>
    <x v="4"/>
    <x v="0"/>
    <x v="5"/>
    <n v="304.61"/>
    <s v="Store B"/>
    <x v="0"/>
    <n v="0.05"/>
    <x v="5"/>
    <n v="868.13850000000002"/>
    <x v="4"/>
    <s v="SAVE10"/>
    <n v="0"/>
    <s v="REG101478"/>
    <x v="1351"/>
    <n v="47.14"/>
    <x v="738"/>
    <d v="2023-05-15T00:00:00"/>
    <x v="4"/>
    <n v="913.83"/>
    <n v="45.691500000000005"/>
    <n v="868.13850000000002"/>
    <n v="4"/>
    <x v="1089"/>
    <n v="0"/>
  </r>
  <r>
    <d v="2024-09-11T00:00:00"/>
    <x v="1"/>
    <x v="5"/>
    <x v="17"/>
    <n v="238.32"/>
    <s v="Store C"/>
    <x v="1"/>
    <n v="0"/>
    <x v="4"/>
    <n v="2144.88"/>
    <x v="4"/>
    <s v="WINTER15"/>
    <n v="1"/>
    <s v="REG101479"/>
    <x v="1291"/>
    <n v="8.5"/>
    <x v="303"/>
    <d v="2024-09-20T00:00:00"/>
    <x v="1"/>
    <n v="2144.88"/>
    <n v="0"/>
    <n v="2144.88"/>
    <n v="9"/>
    <x v="0"/>
    <n v="0"/>
  </r>
  <r>
    <d v="2024-08-16T00:00:00"/>
    <x v="4"/>
    <x v="6"/>
    <x v="18"/>
    <n v="483.37"/>
    <s v="Store B"/>
    <x v="1"/>
    <n v="0.1"/>
    <x v="1"/>
    <n v="6960.5280000000002"/>
    <x v="3"/>
    <m/>
    <n v="0"/>
    <s v="REG101480"/>
    <x v="1352"/>
    <n v="42.52"/>
    <x v="739"/>
    <d v="2024-08-22T00:00:00"/>
    <x v="4"/>
    <n v="7733.92"/>
    <n v="773.39200000000005"/>
    <n v="6960.5280000000002"/>
    <n v="6"/>
    <x v="1090"/>
    <n v="0"/>
  </r>
  <r>
    <d v="2025-05-30T00:00:00"/>
    <x v="2"/>
    <x v="4"/>
    <x v="16"/>
    <n v="159.53"/>
    <s v="Store A"/>
    <x v="1"/>
    <n v="0.05"/>
    <x v="5"/>
    <n v="909.32100000000003"/>
    <x v="1"/>
    <m/>
    <n v="0"/>
    <s v="REG101481"/>
    <x v="1353"/>
    <n v="48.6"/>
    <x v="740"/>
    <d v="2025-06-07T00:00:00"/>
    <x v="2"/>
    <n v="957.18000000000006"/>
    <n v="47.859000000000009"/>
    <n v="909.32100000000003"/>
    <n v="8"/>
    <x v="1091"/>
    <n v="0"/>
  </r>
  <r>
    <d v="2023-08-22T00:00:00"/>
    <x v="0"/>
    <x v="2"/>
    <x v="8"/>
    <n v="280.60000000000002"/>
    <s v="Store A"/>
    <x v="0"/>
    <n v="0.1"/>
    <x v="2"/>
    <n v="4798.26"/>
    <x v="1"/>
    <s v="FREESHIP"/>
    <n v="0"/>
    <s v="REG101482"/>
    <x v="1354"/>
    <n v="35.94"/>
    <x v="530"/>
    <d v="2023-08-28T00:00:00"/>
    <x v="0"/>
    <n v="5331.4000000000005"/>
    <n v="533.1400000000001"/>
    <n v="4798.26"/>
    <n v="6"/>
    <x v="1092"/>
    <n v="0"/>
  </r>
  <r>
    <d v="2024-01-23T00:00:00"/>
    <x v="0"/>
    <x v="5"/>
    <x v="3"/>
    <n v="389.98"/>
    <s v="Store D"/>
    <x v="0"/>
    <n v="0.05"/>
    <x v="3"/>
    <n v="740.96199999999999"/>
    <x v="3"/>
    <s v="SAVE10"/>
    <n v="1"/>
    <s v="REG101483"/>
    <x v="1355"/>
    <n v="24.55"/>
    <x v="145"/>
    <d v="2024-01-25T00:00:00"/>
    <x v="0"/>
    <n v="779.96"/>
    <n v="38.998000000000005"/>
    <n v="740.96199999999999"/>
    <n v="2"/>
    <x v="1093"/>
    <n v="0"/>
  </r>
  <r>
    <d v="2023-03-16T00:00:00"/>
    <x v="2"/>
    <x v="4"/>
    <x v="9"/>
    <n v="485.3"/>
    <s v="Store D"/>
    <x v="1"/>
    <n v="0.15"/>
    <x v="4"/>
    <n v="7012.585"/>
    <x v="4"/>
    <s v="WINTER15"/>
    <n v="0"/>
    <s v="REG101484"/>
    <x v="1356"/>
    <n v="37.94"/>
    <x v="399"/>
    <d v="2023-03-23T00:00:00"/>
    <x v="2"/>
    <n v="8250.1"/>
    <n v="1237.5150000000001"/>
    <n v="7012.585"/>
    <n v="7"/>
    <x v="1094"/>
    <n v="0"/>
  </r>
  <r>
    <d v="2025-05-16T00:00:00"/>
    <x v="1"/>
    <x v="0"/>
    <x v="15"/>
    <n v="472.24"/>
    <s v="Store D"/>
    <x v="1"/>
    <n v="0"/>
    <x v="1"/>
    <n v="1888.96"/>
    <x v="1"/>
    <s v="FREESHIP"/>
    <n v="1"/>
    <s v="REG101485"/>
    <x v="1357"/>
    <n v="6.78"/>
    <x v="120"/>
    <d v="2025-05-21T00:00:00"/>
    <x v="1"/>
    <n v="1888.96"/>
    <n v="0"/>
    <n v="1888.96"/>
    <n v="5"/>
    <x v="0"/>
    <n v="0"/>
  </r>
  <r>
    <d v="2023-05-23T00:00:00"/>
    <x v="0"/>
    <x v="4"/>
    <x v="19"/>
    <n v="143.53"/>
    <s v="Store D"/>
    <x v="0"/>
    <n v="0"/>
    <x v="1"/>
    <n v="1148.24"/>
    <x v="4"/>
    <s v="WINTER15"/>
    <n v="0"/>
    <s v="REG101486"/>
    <x v="1358"/>
    <n v="9.1"/>
    <x v="515"/>
    <d v="2023-05-29T00:00:00"/>
    <x v="0"/>
    <n v="1148.24"/>
    <n v="0"/>
    <n v="1148.24"/>
    <n v="6"/>
    <x v="0"/>
    <n v="0"/>
  </r>
  <r>
    <d v="2024-06-16T00:00:00"/>
    <x v="2"/>
    <x v="3"/>
    <x v="6"/>
    <n v="159.91999999999999"/>
    <s v="Store B"/>
    <x v="0"/>
    <n v="0"/>
    <x v="3"/>
    <n v="799.59999999999991"/>
    <x v="4"/>
    <s v="SAVE10"/>
    <n v="0"/>
    <s v="REG101487"/>
    <x v="1359"/>
    <n v="10.86"/>
    <x v="40"/>
    <d v="2024-06-23T00:00:00"/>
    <x v="2"/>
    <n v="799.59999999999991"/>
    <n v="0"/>
    <n v="799.59999999999991"/>
    <n v="7"/>
    <x v="0"/>
    <n v="0"/>
  </r>
  <r>
    <d v="2025-01-28T00:00:00"/>
    <x v="3"/>
    <x v="4"/>
    <x v="14"/>
    <n v="447.34"/>
    <s v="Store A"/>
    <x v="0"/>
    <n v="0.05"/>
    <x v="2"/>
    <n v="5524.6489999999994"/>
    <x v="4"/>
    <s v="SAVE10"/>
    <n v="0"/>
    <s v="REG101488"/>
    <x v="1360"/>
    <n v="38.93"/>
    <x v="741"/>
    <d v="2025-02-04T00:00:00"/>
    <x v="3"/>
    <n v="5815.42"/>
    <n v="290.77100000000002"/>
    <n v="5524.6490000000003"/>
    <n v="7"/>
    <x v="1095"/>
    <n v="0"/>
  </r>
  <r>
    <d v="2024-11-27T00:00:00"/>
    <x v="1"/>
    <x v="1"/>
    <x v="14"/>
    <n v="196.8"/>
    <s v="Store B"/>
    <x v="1"/>
    <n v="0.1"/>
    <x v="4"/>
    <n v="2302.56"/>
    <x v="4"/>
    <m/>
    <n v="0"/>
    <s v="REG101489"/>
    <x v="1361"/>
    <n v="10.119999999999999"/>
    <x v="742"/>
    <d v="2024-12-07T00:00:00"/>
    <x v="1"/>
    <n v="2558.4"/>
    <n v="255.84000000000003"/>
    <n v="2302.56"/>
    <n v="10"/>
    <x v="1096"/>
    <n v="0"/>
  </r>
  <r>
    <d v="2023-10-09T00:00:00"/>
    <x v="3"/>
    <x v="3"/>
    <x v="5"/>
    <n v="485.81"/>
    <s v="Store A"/>
    <x v="0"/>
    <n v="0.1"/>
    <x v="0"/>
    <n v="1311.6869999999999"/>
    <x v="3"/>
    <s v="SAVE10"/>
    <n v="0"/>
    <s v="REG101490"/>
    <x v="1362"/>
    <n v="19.46"/>
    <x v="743"/>
    <d v="2023-10-11T00:00:00"/>
    <x v="3"/>
    <n v="1457.43"/>
    <n v="145.74300000000002"/>
    <n v="1311.6870000000001"/>
    <n v="2"/>
    <x v="1097"/>
    <n v="0"/>
  </r>
  <r>
    <d v="2024-07-21T00:00:00"/>
    <x v="4"/>
    <x v="1"/>
    <x v="18"/>
    <n v="183.62"/>
    <s v="Store A"/>
    <x v="0"/>
    <n v="0.05"/>
    <x v="5"/>
    <n v="2791.0239999999999"/>
    <x v="1"/>
    <s v="WINTER15"/>
    <n v="0"/>
    <s v="REG101491"/>
    <x v="1363"/>
    <n v="6.56"/>
    <x v="744"/>
    <d v="2024-07-31T00:00:00"/>
    <x v="4"/>
    <n v="2937.92"/>
    <n v="146.89600000000002"/>
    <n v="2791.0239999999999"/>
    <n v="10"/>
    <x v="1098"/>
    <n v="0"/>
  </r>
  <r>
    <d v="2024-07-03T00:00:00"/>
    <x v="0"/>
    <x v="4"/>
    <x v="3"/>
    <n v="373.07"/>
    <s v="Store A"/>
    <x v="1"/>
    <n v="0.05"/>
    <x v="4"/>
    <n v="708.83299999999997"/>
    <x v="2"/>
    <s v="FREESHIP"/>
    <n v="0"/>
    <s v="REG101492"/>
    <x v="1364"/>
    <n v="26.9"/>
    <x v="691"/>
    <d v="2024-07-07T00:00:00"/>
    <x v="0"/>
    <n v="746.14"/>
    <n v="37.307000000000002"/>
    <n v="708.83299999999997"/>
    <n v="4"/>
    <x v="1099"/>
    <n v="0"/>
  </r>
  <r>
    <d v="2024-09-24T00:00:00"/>
    <x v="4"/>
    <x v="4"/>
    <x v="9"/>
    <n v="527.67999999999995"/>
    <s v="Store B"/>
    <x v="0"/>
    <n v="0"/>
    <x v="4"/>
    <n v="8970.56"/>
    <x v="1"/>
    <s v="FREESHIP"/>
    <n v="0"/>
    <s v="REG101493"/>
    <x v="1365"/>
    <n v="29.19"/>
    <x v="745"/>
    <d v="2024-10-02T00:00:00"/>
    <x v="4"/>
    <n v="8970.56"/>
    <n v="0"/>
    <n v="8970.56"/>
    <n v="8"/>
    <x v="0"/>
    <n v="0"/>
  </r>
  <r>
    <d v="2025-01-14T00:00:00"/>
    <x v="0"/>
    <x v="5"/>
    <x v="6"/>
    <n v="201.29"/>
    <s v="Store D"/>
    <x v="0"/>
    <n v="0"/>
    <x v="3"/>
    <n v="1006.45"/>
    <x v="0"/>
    <s v="FREESHIP"/>
    <n v="0"/>
    <s v="REG101494"/>
    <x v="1366"/>
    <n v="49.13"/>
    <x v="679"/>
    <d v="2025-01-21T00:00:00"/>
    <x v="0"/>
    <n v="1006.4499999999999"/>
    <n v="0"/>
    <n v="1006.4499999999999"/>
    <n v="7"/>
    <x v="0"/>
    <n v="0"/>
  </r>
  <r>
    <d v="2025-02-17T00:00:00"/>
    <x v="4"/>
    <x v="2"/>
    <x v="14"/>
    <n v="134.56"/>
    <s v="Store D"/>
    <x v="1"/>
    <n v="0.05"/>
    <x v="3"/>
    <n v="1661.816"/>
    <x v="2"/>
    <s v="WINTER15"/>
    <n v="0"/>
    <s v="REG101495"/>
    <x v="1367"/>
    <n v="35.630000000000003"/>
    <x v="130"/>
    <d v="2025-02-22T00:00:00"/>
    <x v="4"/>
    <n v="1749.28"/>
    <n v="87.463999999999999"/>
    <n v="1661.816"/>
    <n v="5"/>
    <x v="1100"/>
    <n v="0"/>
  </r>
  <r>
    <d v="2024-01-11T00:00:00"/>
    <x v="1"/>
    <x v="3"/>
    <x v="2"/>
    <n v="209.75"/>
    <s v="Store C"/>
    <x v="0"/>
    <n v="0.15"/>
    <x v="2"/>
    <n v="3209.1750000000002"/>
    <x v="3"/>
    <s v="FREESHIP"/>
    <n v="0"/>
    <s v="REG101496"/>
    <x v="1368"/>
    <n v="45.93"/>
    <x v="746"/>
    <d v="2024-01-17T00:00:00"/>
    <x v="1"/>
    <n v="3775.5"/>
    <n v="566.32499999999993"/>
    <n v="3209.1750000000002"/>
    <n v="6"/>
    <x v="1101"/>
    <n v="0"/>
  </r>
  <r>
    <d v="2024-07-27T00:00:00"/>
    <x v="0"/>
    <x v="2"/>
    <x v="1"/>
    <n v="272.5"/>
    <s v="Store A"/>
    <x v="0"/>
    <n v="0"/>
    <x v="0"/>
    <n v="272.5"/>
    <x v="1"/>
    <s v="WINTER15"/>
    <n v="0"/>
    <s v="REG101497"/>
    <x v="1369"/>
    <n v="35.56"/>
    <x v="480"/>
    <d v="2024-08-03T00:00:00"/>
    <x v="0"/>
    <n v="272.5"/>
    <n v="0"/>
    <n v="272.5"/>
    <n v="7"/>
    <x v="0"/>
    <n v="0"/>
  </r>
  <r>
    <d v="2024-12-03T00:00:00"/>
    <x v="3"/>
    <x v="4"/>
    <x v="0"/>
    <n v="262.67"/>
    <s v="Store A"/>
    <x v="1"/>
    <n v="0.05"/>
    <x v="3"/>
    <n v="3493.511"/>
    <x v="1"/>
    <s v="SAVE10"/>
    <n v="0"/>
    <s v="REG101498"/>
    <x v="1370"/>
    <n v="24.53"/>
    <x v="581"/>
    <d v="2024-12-10T00:00:00"/>
    <x v="3"/>
    <n v="3677.38"/>
    <n v="183.86900000000003"/>
    <n v="3493.511"/>
    <n v="7"/>
    <x v="1102"/>
    <n v="0"/>
  </r>
  <r>
    <d v="2025-05-09T00:00:00"/>
    <x v="4"/>
    <x v="3"/>
    <x v="14"/>
    <n v="221.39"/>
    <s v="Store D"/>
    <x v="0"/>
    <n v="0"/>
    <x v="2"/>
    <n v="2878.07"/>
    <x v="3"/>
    <s v="FREESHIP"/>
    <n v="1"/>
    <s v="REG101499"/>
    <x v="656"/>
    <n v="21.05"/>
    <x v="589"/>
    <d v="2025-05-13T00:00:00"/>
    <x v="4"/>
    <n v="2878.0699999999997"/>
    <n v="0"/>
    <n v="2878.0699999999997"/>
    <n v="4"/>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CEEE6-C204-43E3-9A44-9E61FD19A996}" name="PivotTable9"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8">
    <pivotField numFmtId="164" showAll="0"/>
    <pivotField showAll="0"/>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dataField="1"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7"/>
    <field x="26"/>
    <field x="25"/>
    <field x="16"/>
  </rowFields>
  <rowItems count="4">
    <i>
      <x v="1"/>
    </i>
    <i>
      <x v="2"/>
    </i>
    <i>
      <x v="3"/>
    </i>
    <i t="grand">
      <x/>
    </i>
  </rowItems>
  <colFields count="1">
    <field x="-2"/>
  </colFields>
  <colItems count="2">
    <i>
      <x/>
    </i>
    <i i="1">
      <x v="1"/>
    </i>
  </colItems>
  <dataFields count="2">
    <dataField name="Sum of Net Sales" fld="21" baseField="0" baseItem="0"/>
    <dataField name="Sum of Profit" fld="23" baseField="2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C73A4-0CF4-4C55-A59B-CC4CE90F8635}" name="PivotTable16" cacheId="6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20:C32" firstHeaderRow="1" firstDataRow="5" firstDataCol="1"/>
  <pivotFields count="28">
    <pivotField numFmtId="164" showAll="0"/>
    <pivotField showAll="0">
      <items count="6">
        <item x="3"/>
        <item x="0"/>
        <item x="2"/>
        <item x="1"/>
        <item x="4"/>
        <item t="default"/>
      </items>
    </pivotField>
    <pivotField axis="axisRow" showAll="0" measureFilter="1" sortType="descending">
      <items count="8">
        <item x="5"/>
        <item x="6"/>
        <item x="1"/>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Col"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items count="6">
        <item x="3"/>
        <item x="0"/>
        <item x="2"/>
        <item x="1"/>
        <item x="4"/>
        <item t="default"/>
      </items>
    </pivotField>
    <pivotField showAll="0"/>
    <pivotField showAll="0"/>
    <pivotField dataField="1"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5">
        <item h="1" sd="0" x="0"/>
        <item sd="0" x="1"/>
        <item sd="0" x="2"/>
        <item h="1" sd="0" x="3"/>
        <item h="1" sd="0" x="4"/>
      </items>
    </pivotField>
  </pivotFields>
  <rowFields count="1">
    <field x="2"/>
  </rowFields>
  <rowItems count="8">
    <i>
      <x/>
    </i>
    <i>
      <x v="3"/>
    </i>
    <i>
      <x v="4"/>
    </i>
    <i>
      <x v="1"/>
    </i>
    <i>
      <x v="6"/>
    </i>
    <i>
      <x v="5"/>
    </i>
    <i>
      <x v="2"/>
    </i>
    <i t="grand">
      <x/>
    </i>
  </rowItems>
  <colFields count="4">
    <field x="27"/>
    <field x="26"/>
    <field x="25"/>
    <field x="16"/>
  </colFields>
  <colItems count="2">
    <i>
      <x v="1"/>
    </i>
    <i>
      <x v="2"/>
    </i>
  </colItems>
  <dataFields count="1">
    <dataField name="Sum of Net Sales" fld="21" baseField="2" baseItem="0" numFmtId="1"/>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016F69-CCBA-4432-8B1A-1C8D4A05D3D7}" name="PivotTable15" cacheId="6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3:I13" firstHeaderRow="1" firstDataRow="5" firstDataCol="1"/>
  <pivotFields count="28">
    <pivotField numFmtId="164" showAll="0"/>
    <pivotField axis="axisRow" showAll="0">
      <items count="6">
        <item x="3"/>
        <item x="0"/>
        <item x="2"/>
        <item x="1"/>
        <item x="4"/>
        <item t="default"/>
      </items>
    </pivotField>
    <pivotField showAll="0" sortType="descending">
      <items count="8">
        <item x="5"/>
        <item x="6"/>
        <item x="1"/>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Col"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dataField="1"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5">
        <item h="1" sd="0" x="0"/>
        <item sd="0" x="1"/>
        <item sd="0" x="2"/>
        <item h="1" sd="0" x="3"/>
        <item h="1" sd="0" x="4"/>
      </items>
    </pivotField>
  </pivotFields>
  <rowFields count="1">
    <field x="1"/>
  </rowFields>
  <rowItems count="6">
    <i>
      <x/>
    </i>
    <i>
      <x v="1"/>
    </i>
    <i>
      <x v="2"/>
    </i>
    <i>
      <x v="3"/>
    </i>
    <i>
      <x v="4"/>
    </i>
    <i t="grand">
      <x/>
    </i>
  </rowItems>
  <colFields count="4">
    <field x="27"/>
    <field x="26"/>
    <field x="25"/>
    <field x="16"/>
  </colFields>
  <colItems count="2">
    <i>
      <x v="1"/>
    </i>
    <i>
      <x v="2"/>
    </i>
  </colItems>
  <dataFields count="1">
    <dataField name="Sum of Net Sales" fld="21"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D78025-F221-4700-A485-D4974AB28990}" name="PivotTable13" cacheId="6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20:I30" firstHeaderRow="1" firstDataRow="5" firstDataCol="1"/>
  <pivotFields count="28">
    <pivotField numFmtId="164" showAll="0"/>
    <pivotField axis="axisRow" showAll="0">
      <items count="6">
        <item x="3"/>
        <item x="0"/>
        <item x="2"/>
        <item x="1"/>
        <item x="4"/>
        <item t="default"/>
      </items>
    </pivotField>
    <pivotField showAll="0" measureFilter="1" sortType="descending">
      <items count="8">
        <item x="5"/>
        <item x="6"/>
        <item x="1"/>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Col"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items count="6">
        <item x="3"/>
        <item x="0"/>
        <item x="2"/>
        <item x="1"/>
        <item x="4"/>
        <item t="default"/>
      </items>
    </pivotField>
    <pivotField showAll="0"/>
    <pivotField showAll="0"/>
    <pivotField dataField="1"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5">
        <item h="1" sd="0" x="0"/>
        <item sd="0" x="1"/>
        <item sd="0" x="2"/>
        <item h="1" sd="0" x="3"/>
        <item h="1" sd="0" x="4"/>
      </items>
    </pivotField>
  </pivotFields>
  <rowFields count="1">
    <field x="1"/>
  </rowFields>
  <rowItems count="6">
    <i>
      <x/>
    </i>
    <i>
      <x v="1"/>
    </i>
    <i>
      <x v="2"/>
    </i>
    <i>
      <x v="3"/>
    </i>
    <i>
      <x v="4"/>
    </i>
    <i t="grand">
      <x/>
    </i>
  </rowItems>
  <colFields count="4">
    <field x="27"/>
    <field x="26"/>
    <field x="25"/>
    <field x="16"/>
  </colFields>
  <colItems count="2">
    <i>
      <x v="1"/>
    </i>
    <i>
      <x v="2"/>
    </i>
  </colItems>
  <dataFields count="1">
    <dataField name="Sum of Net Sales" fld="21" baseField="2" baseItem="0" numFmtId="1"/>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62BEF9-F0F7-41FC-8F70-1DAA97EECF50}" name="PivotTable10" cacheId="6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C15" firstHeaderRow="1" firstDataRow="5" firstDataCol="1"/>
  <pivotFields count="28">
    <pivotField numFmtId="164" showAll="0"/>
    <pivotField showAll="0"/>
    <pivotField axis="axisRow" showAll="0" sortType="descending">
      <items count="8">
        <item x="5"/>
        <item x="6"/>
        <item x="1"/>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Col"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dataField="1"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5">
        <item h="1" sd="0" x="0"/>
        <item sd="0" x="1"/>
        <item sd="0" x="2"/>
        <item h="1" sd="0" x="3"/>
        <item h="1" sd="0" x="4"/>
      </items>
    </pivotField>
  </pivotFields>
  <rowFields count="1">
    <field x="2"/>
  </rowFields>
  <rowItems count="8">
    <i>
      <x/>
    </i>
    <i>
      <x v="3"/>
    </i>
    <i>
      <x v="4"/>
    </i>
    <i>
      <x v="1"/>
    </i>
    <i>
      <x v="6"/>
    </i>
    <i>
      <x v="5"/>
    </i>
    <i>
      <x v="2"/>
    </i>
    <i t="grand">
      <x/>
    </i>
  </rowItems>
  <colFields count="4">
    <field x="27"/>
    <field x="26"/>
    <field x="25"/>
    <field x="16"/>
  </colFields>
  <colItems count="2">
    <i>
      <x v="1"/>
    </i>
    <i>
      <x v="2"/>
    </i>
  </colItems>
  <dataFields count="1">
    <dataField name="Sum of Net Sales" fld="21"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06620E-14A7-4521-805A-A74F18C97EBA}" name="PivotTable18"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9:C45" firstHeaderRow="0" firstDataRow="1" firstDataCol="1"/>
  <pivotFields count="28">
    <pivotField compact="0" numFmtId="164" outline="0" showAll="0"/>
    <pivotField axis="axisRow" compact="0" outline="0" showAll="0" sortType="descending">
      <items count="6">
        <item x="4"/>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7">
        <item x="1"/>
        <item x="5"/>
        <item x="3"/>
        <item x="4"/>
        <item x="0"/>
        <item x="2"/>
        <item t="default"/>
      </items>
    </pivotField>
    <pivotField compact="0" outline="0" showAll="0"/>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5">
        <item sd="0" x="0"/>
        <item x="1"/>
        <item x="2"/>
        <item x="3"/>
        <item sd="0" x="4"/>
      </items>
    </pivotField>
  </pivotFields>
  <rowFields count="1">
    <field x="1"/>
  </rowFields>
  <rowItems count="6">
    <i>
      <x v="2"/>
    </i>
    <i>
      <x v="3"/>
    </i>
    <i>
      <x/>
    </i>
    <i>
      <x v="4"/>
    </i>
    <i>
      <x v="1"/>
    </i>
    <i t="grand">
      <x/>
    </i>
  </rowItems>
  <colFields count="1">
    <field x="-2"/>
  </colFields>
  <colItems count="2">
    <i>
      <x/>
    </i>
    <i i="1">
      <x v="1"/>
    </i>
  </colItems>
  <dataFields count="2">
    <dataField name="Sum of Net Sales" fld="21" baseField="0" baseItem="0"/>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1E43CD-CBE1-41F5-962E-DB3095B03DE3}" name="PivotTable17" cacheId="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4" firstHeaderRow="0" firstDataRow="1" firstDataCol="2"/>
  <pivotFields count="28">
    <pivotField compact="0" numFmtId="164" outline="0" showAll="0"/>
    <pivotField compact="0" outline="0" showAll="0">
      <items count="6">
        <item x="3"/>
        <item x="0"/>
        <item x="2"/>
        <item x="1"/>
        <item x="4"/>
        <item t="default"/>
      </items>
    </pivotField>
    <pivotField compact="0" outline="0" showAll="0"/>
    <pivotField dataField="1"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7">
        <item x="1"/>
        <item x="5"/>
        <item x="3"/>
        <item x="4"/>
        <item x="0"/>
        <item x="2"/>
        <item t="default"/>
      </items>
    </pivotField>
    <pivotField compact="0" outline="0" showAll="0"/>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x="3"/>
        <item sd="0" x="4"/>
      </items>
    </pivotField>
  </pivotFields>
  <rowFields count="2">
    <field x="27"/>
    <field x="26"/>
  </rowFields>
  <rowItems count="11">
    <i>
      <x v="1"/>
      <x v="1"/>
    </i>
    <i r="1">
      <x v="2"/>
    </i>
    <i r="1">
      <x v="3"/>
    </i>
    <i r="1">
      <x v="4"/>
    </i>
    <i>
      <x v="2"/>
      <x v="1"/>
    </i>
    <i r="1">
      <x v="2"/>
    </i>
    <i r="1">
      <x v="3"/>
    </i>
    <i r="1">
      <x v="4"/>
    </i>
    <i>
      <x v="3"/>
      <x v="1"/>
    </i>
    <i r="1">
      <x v="2"/>
    </i>
    <i t="grand">
      <x/>
    </i>
  </rowItems>
  <colFields count="1">
    <field x="-2"/>
  </colFields>
  <colItems count="2">
    <i>
      <x/>
    </i>
    <i i="1">
      <x v="1"/>
    </i>
  </colItems>
  <dataFields count="2">
    <dataField name="Sum of Net Sales" fld="21" baseField="0" baseItem="0"/>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1" xr10:uid="{886268DC-210B-4177-A888-81A1CA170A0E}" sourceName="CustomerType">
  <pivotTables>
    <pivotTable tabId="3" name="PivotTable10"/>
    <pivotTable tabId="3" name="PivotTable15"/>
  </pivotTables>
  <data>
    <tabular pivotCacheId="60242155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Manager" xr10:uid="{25CE0B9C-93EE-4DBA-A170-ABCD685B9645}" sourceName="RegionManager">
  <pivotTables>
    <pivotTable tabId="3" name="PivotTable16"/>
    <pivotTable tabId="3" name="PivotTable13"/>
  </pivotTables>
  <data>
    <tabular pivotCacheId="602421550">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F78E96C-C0D9-4186-BE83-FE4A5A02CA5D}" sourceName="PaymentMethod">
  <pivotTables>
    <pivotTable tabId="4" name="PivotTable17"/>
    <pivotTable tabId="4" name="PivotTable18"/>
  </pivotTables>
  <data>
    <tabular pivotCacheId="602421550">
      <items count="5">
        <i x="4" s="1"/>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075D41-DCE9-4D31-B30C-02ECD53BD8AC}" sourceName="Region">
  <pivotTables>
    <pivotTable tabId="4" name="PivotTable17"/>
    <pivotTable tabId="4" name="PivotTable18"/>
  </pivotTables>
  <data>
    <tabular pivotCacheId="602421550">
      <items count="5">
        <i x="3" s="1"/>
        <i x="0"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2" xr10:uid="{207A94A5-17CF-459E-AAB7-5CEE62FB2DB8}" sourceName="CustomerType">
  <pivotTables>
    <pivotTable tabId="4" name="PivotTable17"/>
    <pivotTable tabId="4" name="PivotTable18"/>
  </pivotTables>
  <data>
    <tabular pivotCacheId="602421550">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2C75063A-F19C-453F-A337-46939444023E}" sourceName="Years (OrderDate)">
  <pivotTables>
    <pivotTable tabId="2" name="PivotTable9"/>
  </pivotTables>
  <data>
    <tabular pivotCacheId="602421550">
      <items count="5">
        <i x="1" s="1"/>
        <i x="2" s="1"/>
        <i x="3" s="1"/>
        <i x="0" s="1" nd="1"/>
        <i x="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2A5485-A3A6-4B89-9C8F-703921AF21C7}" sourceName="Product">
  <pivotTables>
    <pivotTable tabId="2" name="PivotTable9"/>
  </pivotTables>
  <data>
    <tabular pivotCacheId="602421550">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0EAD0E48-021E-498A-A6CF-67B05D014F53}" cache="Slicer_Years__OrderDate" caption="Years (OrderDate)" style="SlicerStyleLight3" rowHeight="241300"/>
  <slicer name="Product 1" xr10:uid="{D4F7AEAD-2878-4178-9EED-93AF66E22C69}" cache="Slicer_Product" caption="Product" columnCount="7"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Type 1" xr10:uid="{6940B4FE-C734-4288-B32A-7FABF247B950}" cache="Slicer_CustomerType1" caption="CustomerType" style="SlicerStyleLight3" rowHeight="241300"/>
  <slicer name="RegionManager" xr10:uid="{BB8643B8-12CD-40C7-88ED-5FC9298636D0}" cache="Slicer_RegionManager" caption="RegionManager"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F814BEBC-6391-48A1-81D1-76CA031827AA}" cache="Slicer_PaymentMethod" caption="PaymentMethod" style="SlicerStyleLight3" rowHeight="241300"/>
  <slicer name="Region" xr10:uid="{42C671F2-BDF4-4157-9CC5-5B4CB80262E7}" cache="Slicer_Region" caption="Region" style="SlicerStyleLight3" rowHeight="241300"/>
  <slicer name="CustomerType 2" xr10:uid="{BF8AE73A-F689-485C-B255-E8241FBF9ED1}" cache="Slicer_CustomerType2" caption="CustomerType" style="SlicerStyleLight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Type 3" xr10:uid="{D2C1123E-1A0B-4DCC-A50A-759E80A7F2D4}" cache="Slicer_CustomerType1" caption="CustomerType" columnCount="2" style="SlicerStyleLight3" rowHeight="241300"/>
  <slicer name="RegionManager 1" xr10:uid="{182A1ABE-9E6B-4EEC-95A6-ADC1F41BB382}" cache="Slicer_RegionManager" caption="RegionManager" columnCount="5" style="SlicerStyleLight3" rowHeight="241300"/>
  <slicer name="PaymentMethod 1" xr10:uid="{0B34AE95-A0E3-4A66-8E6C-0CEE1F930115}" cache="Slicer_PaymentMethod" caption="PaymentMethod" columnCount="5" style="SlicerStyleLight3" rowHeight="241300"/>
  <slicer name="Region 1" xr10:uid="{B11CA3C1-75FF-4E7C-8AF1-5972D91B1B42}" cache="Slicer_Region" caption="Region" columnCount="5" style="SlicerStyleLight3" rowHeight="241300"/>
  <slicer name="CustomerType 4" xr10:uid="{70837477-CFB3-47C3-9C96-B39B4AADA65D}" cache="Slicer_CustomerType2" caption="CustomerType" columnCount="2" style="SlicerStyleLight3" rowHeight="241300"/>
  <slicer name="Years (OrderDate) 1" xr10:uid="{BB9B33E6-1B1D-48CB-BC35-EF9962026690}" cache="Slicer_Years__OrderDate" caption="Years (OrderDate)" columnCount="5" style="SlicerStyleLight3" rowHeight="241300"/>
  <slicer name="Product 2" xr10:uid="{B6E5AA1B-1A60-43A8-B851-2778FBC92A2F}" cache="Slicer_Product" caption="Product" columnCount="7" style="SlicerStyleLight3"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3FA45-6682-4680-970A-8791956CF191}">
  <dimension ref="A3:F9"/>
  <sheetViews>
    <sheetView zoomScale="51" workbookViewId="0">
      <selection activeCell="F5" sqref="F5"/>
    </sheetView>
  </sheetViews>
  <sheetFormatPr defaultRowHeight="14.5" x14ac:dyDescent="0.35"/>
  <cols>
    <col min="1" max="1" width="18.453125" bestFit="1" customWidth="1"/>
    <col min="2" max="2" width="20.7265625" bestFit="1" customWidth="1"/>
    <col min="3" max="3" width="16.26953125" bestFit="1" customWidth="1"/>
    <col min="5" max="6" width="9.6328125" bestFit="1" customWidth="1"/>
  </cols>
  <sheetData>
    <row r="3" spans="1:6" x14ac:dyDescent="0.35">
      <c r="A3" s="4" t="s">
        <v>2933</v>
      </c>
      <c r="B3" t="s">
        <v>2938</v>
      </c>
      <c r="C3" t="s">
        <v>2939</v>
      </c>
      <c r="E3" t="s">
        <v>2941</v>
      </c>
      <c r="F3" t="s">
        <v>2941</v>
      </c>
    </row>
    <row r="4" spans="1:6" x14ac:dyDescent="0.35">
      <c r="A4" s="5" t="s">
        <v>2935</v>
      </c>
      <c r="B4" s="6">
        <v>1697869.9764999992</v>
      </c>
      <c r="C4" s="7">
        <v>-132848.99350000013</v>
      </c>
    </row>
    <row r="5" spans="1:6" x14ac:dyDescent="0.35">
      <c r="A5" s="5" t="s">
        <v>2936</v>
      </c>
      <c r="B5" s="6">
        <v>1771954.7800000021</v>
      </c>
      <c r="C5" s="7">
        <v>-140330.62999999998</v>
      </c>
      <c r="E5" s="8">
        <f>B5/B4-1</f>
        <v>4.3633967574314481E-2</v>
      </c>
      <c r="F5" s="8">
        <f>C5/C4-1</f>
        <v>5.6316847443784734E-2</v>
      </c>
    </row>
    <row r="6" spans="1:6" x14ac:dyDescent="0.35">
      <c r="A6" s="5" t="s">
        <v>2937</v>
      </c>
      <c r="B6" s="6">
        <v>910167.67200000084</v>
      </c>
      <c r="C6" s="7">
        <v>-74720.888000000064</v>
      </c>
    </row>
    <row r="7" spans="1:6" x14ac:dyDescent="0.35">
      <c r="A7" s="5" t="s">
        <v>2934</v>
      </c>
      <c r="B7" s="6">
        <v>4379992.4285000023</v>
      </c>
      <c r="C7" s="7">
        <v>-347900.51150000014</v>
      </c>
    </row>
    <row r="9" spans="1:6" x14ac:dyDescent="0.35">
      <c r="A9" s="5" t="s">
        <v>2940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AFF4E-C23D-4DEA-84B6-9196C840743C}">
  <sheetPr>
    <tabColor rgb="FF3E7B68"/>
  </sheetPr>
  <dimension ref="A1:I32"/>
  <sheetViews>
    <sheetView topLeftCell="A2" zoomScale="62" workbookViewId="0">
      <selection activeCell="J18" sqref="J18"/>
    </sheetView>
  </sheetViews>
  <sheetFormatPr defaultRowHeight="14.5" x14ac:dyDescent="0.35"/>
  <cols>
    <col min="1" max="1" width="15.453125" bestFit="1" customWidth="1"/>
    <col min="2" max="2" width="17.26953125" bestFit="1" customWidth="1"/>
    <col min="3" max="3" width="8.1796875" bestFit="1" customWidth="1"/>
    <col min="4" max="4" width="17.26953125" bestFit="1" customWidth="1"/>
    <col min="5" max="5" width="11.81640625" bestFit="1" customWidth="1"/>
    <col min="6" max="6" width="10.08984375" bestFit="1" customWidth="1"/>
    <col min="7" max="7" width="15.453125" bestFit="1" customWidth="1"/>
    <col min="8" max="8" width="17.26953125" bestFit="1" customWidth="1"/>
    <col min="9" max="9" width="8.1796875" bestFit="1" customWidth="1"/>
    <col min="10" max="11" width="7.6328125" bestFit="1" customWidth="1"/>
    <col min="12" max="12" width="8.7265625" bestFit="1" customWidth="1"/>
    <col min="13" max="35" width="10.08984375" bestFit="1" customWidth="1"/>
    <col min="36" max="36" width="10.81640625" bestFit="1" customWidth="1"/>
    <col min="37" max="51" width="10.08984375" bestFit="1" customWidth="1"/>
    <col min="52" max="52" width="10.81640625" bestFit="1" customWidth="1"/>
    <col min="53" max="53" width="10.08984375" bestFit="1" customWidth="1"/>
    <col min="54" max="54" width="10.81640625" bestFit="1" customWidth="1"/>
    <col min="55" max="63" width="10.08984375" bestFit="1" customWidth="1"/>
    <col min="64" max="64" width="10.81640625" bestFit="1" customWidth="1"/>
    <col min="65" max="69" width="10.08984375" bestFit="1" customWidth="1"/>
    <col min="70" max="70" width="10.81640625" bestFit="1" customWidth="1"/>
    <col min="71" max="82" width="10.08984375" bestFit="1" customWidth="1"/>
    <col min="83" max="83" width="10.81640625" bestFit="1" customWidth="1"/>
    <col min="84" max="148" width="10.08984375" bestFit="1" customWidth="1"/>
    <col min="149" max="149" width="10.81640625" bestFit="1" customWidth="1"/>
    <col min="150" max="165" width="10.08984375" bestFit="1" customWidth="1"/>
    <col min="166" max="166" width="10.81640625" bestFit="1" customWidth="1"/>
    <col min="167" max="174" width="10.08984375" bestFit="1" customWidth="1"/>
    <col min="175" max="175" width="10.81640625" bestFit="1" customWidth="1"/>
    <col min="176" max="205" width="10.08984375" bestFit="1" customWidth="1"/>
    <col min="206" max="206" width="10.81640625" bestFit="1" customWidth="1"/>
    <col min="207" max="207" width="10.08984375" bestFit="1" customWidth="1"/>
    <col min="208" max="208" width="10.81640625" bestFit="1" customWidth="1"/>
    <col min="209" max="214" width="10.08984375" bestFit="1" customWidth="1"/>
    <col min="215" max="215" width="10.81640625" bestFit="1" customWidth="1"/>
    <col min="216" max="218" width="10.08984375" bestFit="1" customWidth="1"/>
    <col min="219" max="219" width="10.81640625" bestFit="1" customWidth="1"/>
    <col min="220" max="270" width="10.08984375" bestFit="1" customWidth="1"/>
    <col min="271" max="271" width="10.81640625" bestFit="1" customWidth="1"/>
    <col min="272" max="272" width="10.08984375" bestFit="1" customWidth="1"/>
    <col min="273" max="273" width="10.81640625" bestFit="1" customWidth="1"/>
    <col min="274" max="354" width="10.08984375" bestFit="1" customWidth="1"/>
    <col min="355" max="355" width="10.81640625" bestFit="1" customWidth="1"/>
    <col min="356" max="360" width="10.08984375" bestFit="1" customWidth="1"/>
    <col min="361" max="362" width="10.81640625" bestFit="1" customWidth="1"/>
    <col min="363" max="377" width="10.08984375" bestFit="1" customWidth="1"/>
    <col min="378" max="379" width="10.81640625" bestFit="1" customWidth="1"/>
    <col min="380" max="384" width="10.08984375" bestFit="1" customWidth="1"/>
    <col min="385" max="385" width="10.81640625" bestFit="1" customWidth="1"/>
    <col min="386" max="420" width="10.08984375" bestFit="1" customWidth="1"/>
    <col min="421" max="421" width="10.81640625" bestFit="1" customWidth="1"/>
    <col min="422" max="426" width="10.08984375" bestFit="1" customWidth="1"/>
    <col min="427" max="427" width="10.81640625" bestFit="1" customWidth="1"/>
    <col min="428" max="433" width="10.08984375" bestFit="1" customWidth="1"/>
    <col min="434" max="434" width="10.81640625" bestFit="1" customWidth="1"/>
    <col min="435" max="436" width="10.08984375" bestFit="1" customWidth="1"/>
    <col min="437" max="437" width="10.81640625" bestFit="1" customWidth="1"/>
    <col min="438" max="442" width="10.08984375" bestFit="1" customWidth="1"/>
    <col min="443" max="443" width="10.81640625" bestFit="1" customWidth="1"/>
    <col min="444" max="449" width="10.08984375" bestFit="1" customWidth="1"/>
    <col min="450" max="450" width="10.81640625" bestFit="1" customWidth="1"/>
    <col min="451" max="456" width="10.08984375" bestFit="1" customWidth="1"/>
    <col min="457" max="457" width="10.81640625" bestFit="1" customWidth="1"/>
    <col min="458" max="499" width="10.08984375" bestFit="1" customWidth="1"/>
    <col min="500" max="500" width="10.81640625" bestFit="1" customWidth="1"/>
    <col min="501" max="508" width="10.08984375" bestFit="1" customWidth="1"/>
    <col min="509" max="509" width="10.81640625" bestFit="1" customWidth="1"/>
    <col min="510" max="553" width="10.08984375" bestFit="1" customWidth="1"/>
    <col min="554" max="554" width="10.81640625" bestFit="1" customWidth="1"/>
    <col min="555" max="598" width="10.08984375" bestFit="1" customWidth="1"/>
    <col min="599" max="599" width="10.81640625" bestFit="1" customWidth="1"/>
    <col min="600" max="608" width="10.08984375" bestFit="1" customWidth="1"/>
    <col min="609" max="609" width="10.81640625" bestFit="1" customWidth="1"/>
    <col min="610" max="637" width="10.08984375" bestFit="1" customWidth="1"/>
    <col min="638" max="638" width="10.81640625" bestFit="1" customWidth="1"/>
    <col min="639" max="650" width="10.08984375" bestFit="1" customWidth="1"/>
    <col min="651" max="651" width="10.81640625" bestFit="1" customWidth="1"/>
    <col min="652" max="679" width="10.08984375" bestFit="1" customWidth="1"/>
    <col min="680" max="680" width="10.81640625" bestFit="1" customWidth="1"/>
    <col min="681" max="691" width="10.08984375" bestFit="1" customWidth="1"/>
    <col min="692" max="692" width="10.81640625" bestFit="1" customWidth="1"/>
    <col min="693" max="704" width="10.08984375" bestFit="1" customWidth="1"/>
    <col min="705" max="705" width="10.81640625" bestFit="1" customWidth="1"/>
    <col min="706" max="748" width="10.08984375" bestFit="1" customWidth="1"/>
    <col min="749" max="749" width="11.81640625" bestFit="1" customWidth="1"/>
  </cols>
  <sheetData>
    <row r="1" spans="1:9" x14ac:dyDescent="0.35">
      <c r="A1" t="s">
        <v>2949</v>
      </c>
    </row>
    <row r="3" spans="1:9" x14ac:dyDescent="0.35">
      <c r="A3" s="4" t="s">
        <v>2938</v>
      </c>
      <c r="B3" s="4" t="s">
        <v>2942</v>
      </c>
      <c r="G3" s="4" t="s">
        <v>2938</v>
      </c>
      <c r="H3" s="4" t="s">
        <v>2942</v>
      </c>
    </row>
    <row r="4" spans="1:9" x14ac:dyDescent="0.35">
      <c r="B4" t="s">
        <v>2935</v>
      </c>
      <c r="C4" t="s">
        <v>2936</v>
      </c>
      <c r="H4" t="s">
        <v>2935</v>
      </c>
      <c r="I4" t="s">
        <v>2936</v>
      </c>
    </row>
    <row r="7" spans="1:9" x14ac:dyDescent="0.35">
      <c r="A7" s="4" t="s">
        <v>2933</v>
      </c>
      <c r="G7" s="4" t="s">
        <v>2933</v>
      </c>
    </row>
    <row r="8" spans="1:9" x14ac:dyDescent="0.35">
      <c r="A8" s="5" t="s">
        <v>29</v>
      </c>
      <c r="B8" s="9">
        <v>268581.73800000001</v>
      </c>
      <c r="C8" s="9">
        <v>297185.16099999991</v>
      </c>
      <c r="G8" s="5" t="s">
        <v>22</v>
      </c>
      <c r="H8" s="9">
        <v>317187.36950000009</v>
      </c>
      <c r="I8" s="9">
        <v>316403.46549999993</v>
      </c>
    </row>
    <row r="9" spans="1:9" x14ac:dyDescent="0.35">
      <c r="A9" s="5" t="s">
        <v>28</v>
      </c>
      <c r="B9" s="9">
        <v>252496.86299999998</v>
      </c>
      <c r="C9" s="9">
        <v>294518.326</v>
      </c>
      <c r="G9" s="5" t="s">
        <v>19</v>
      </c>
      <c r="H9" s="9">
        <v>311347.11799999973</v>
      </c>
      <c r="I9" s="9">
        <v>361402.36800000002</v>
      </c>
    </row>
    <row r="10" spans="1:9" x14ac:dyDescent="0.35">
      <c r="A10" s="5" t="s">
        <v>24</v>
      </c>
      <c r="B10" s="9">
        <v>286177.20099999994</v>
      </c>
      <c r="C10" s="9">
        <v>256697.06849999996</v>
      </c>
      <c r="G10" s="5" t="s">
        <v>21</v>
      </c>
      <c r="H10" s="9">
        <v>360780.62300000025</v>
      </c>
      <c r="I10" s="9">
        <v>377736.98899999994</v>
      </c>
    </row>
    <row r="11" spans="1:9" x14ac:dyDescent="0.35">
      <c r="A11" s="5" t="s">
        <v>30</v>
      </c>
      <c r="B11" s="9">
        <v>222621.63</v>
      </c>
      <c r="C11" s="9">
        <v>319790.8249999999</v>
      </c>
      <c r="G11" s="5" t="s">
        <v>20</v>
      </c>
      <c r="H11" s="9">
        <v>330323.73699999991</v>
      </c>
      <c r="I11" s="9">
        <v>382472.16650000022</v>
      </c>
    </row>
    <row r="12" spans="1:9" x14ac:dyDescent="0.35">
      <c r="A12" s="5" t="s">
        <v>27</v>
      </c>
      <c r="B12" s="9">
        <v>205814.54449999996</v>
      </c>
      <c r="C12" s="9">
        <v>248450.10600000012</v>
      </c>
      <c r="G12" s="5" t="s">
        <v>23</v>
      </c>
      <c r="H12" s="9">
        <v>378231.12899999984</v>
      </c>
      <c r="I12" s="9">
        <v>333939.79099999997</v>
      </c>
    </row>
    <row r="13" spans="1:9" x14ac:dyDescent="0.35">
      <c r="A13" s="5" t="s">
        <v>26</v>
      </c>
      <c r="B13" s="9">
        <v>257695.83050000004</v>
      </c>
      <c r="C13" s="9">
        <v>185283.94750000001</v>
      </c>
      <c r="G13" s="5" t="s">
        <v>2934</v>
      </c>
      <c r="H13" s="9">
        <v>1697869.9764999999</v>
      </c>
      <c r="I13" s="9">
        <v>1771954.78</v>
      </c>
    </row>
    <row r="14" spans="1:9" x14ac:dyDescent="0.35">
      <c r="A14" s="5" t="s">
        <v>25</v>
      </c>
      <c r="B14" s="9">
        <v>204482.16950000013</v>
      </c>
      <c r="C14" s="9">
        <v>170029.34599999996</v>
      </c>
    </row>
    <row r="15" spans="1:9" x14ac:dyDescent="0.35">
      <c r="A15" s="5" t="s">
        <v>2934</v>
      </c>
      <c r="B15" s="9">
        <v>1697869.9764999999</v>
      </c>
      <c r="C15" s="9">
        <v>1771954.78</v>
      </c>
    </row>
    <row r="18" spans="1:9" x14ac:dyDescent="0.35">
      <c r="A18" s="5" t="s">
        <v>2950</v>
      </c>
    </row>
    <row r="20" spans="1:9" x14ac:dyDescent="0.35">
      <c r="A20" s="4" t="s">
        <v>2938</v>
      </c>
      <c r="B20" s="4" t="s">
        <v>2942</v>
      </c>
      <c r="D20" s="4"/>
      <c r="E20" s="4"/>
      <c r="G20" s="4" t="s">
        <v>2938</v>
      </c>
      <c r="H20" s="4" t="s">
        <v>2942</v>
      </c>
    </row>
    <row r="21" spans="1:9" x14ac:dyDescent="0.35">
      <c r="B21" t="s">
        <v>2935</v>
      </c>
      <c r="C21" t="s">
        <v>2936</v>
      </c>
      <c r="H21" t="s">
        <v>2935</v>
      </c>
      <c r="I21" t="s">
        <v>2936</v>
      </c>
    </row>
    <row r="24" spans="1:9" x14ac:dyDescent="0.35">
      <c r="A24" s="4" t="s">
        <v>2933</v>
      </c>
      <c r="G24" s="4" t="s">
        <v>2933</v>
      </c>
    </row>
    <row r="25" spans="1:9" x14ac:dyDescent="0.35">
      <c r="A25" s="5" t="s">
        <v>29</v>
      </c>
      <c r="B25" s="9">
        <v>268581.73800000001</v>
      </c>
      <c r="C25" s="9">
        <v>297185.16099999991</v>
      </c>
      <c r="G25" s="5" t="s">
        <v>22</v>
      </c>
      <c r="H25" s="9">
        <v>317187.36950000009</v>
      </c>
      <c r="I25" s="9">
        <v>316403.46549999993</v>
      </c>
    </row>
    <row r="26" spans="1:9" x14ac:dyDescent="0.35">
      <c r="A26" s="5" t="s">
        <v>28</v>
      </c>
      <c r="B26" s="9">
        <v>252496.86299999998</v>
      </c>
      <c r="C26" s="9">
        <v>294518.326</v>
      </c>
      <c r="G26" s="5" t="s">
        <v>19</v>
      </c>
      <c r="H26" s="9">
        <v>311347.11799999973</v>
      </c>
      <c r="I26" s="9">
        <v>361402.36800000002</v>
      </c>
    </row>
    <row r="27" spans="1:9" x14ac:dyDescent="0.35">
      <c r="A27" s="5" t="s">
        <v>24</v>
      </c>
      <c r="B27" s="9">
        <v>286177.20099999994</v>
      </c>
      <c r="C27" s="9">
        <v>256697.06849999996</v>
      </c>
      <c r="G27" s="5" t="s">
        <v>21</v>
      </c>
      <c r="H27" s="9">
        <v>360780.62300000025</v>
      </c>
      <c r="I27" s="9">
        <v>377736.98899999994</v>
      </c>
    </row>
    <row r="28" spans="1:9" x14ac:dyDescent="0.35">
      <c r="A28" s="5" t="s">
        <v>30</v>
      </c>
      <c r="B28" s="9">
        <v>222621.63</v>
      </c>
      <c r="C28" s="9">
        <v>319790.8249999999</v>
      </c>
      <c r="G28" s="5" t="s">
        <v>20</v>
      </c>
      <c r="H28" s="9">
        <v>330323.73699999991</v>
      </c>
      <c r="I28" s="9">
        <v>382472.16650000022</v>
      </c>
    </row>
    <row r="29" spans="1:9" x14ac:dyDescent="0.35">
      <c r="A29" s="5" t="s">
        <v>27</v>
      </c>
      <c r="B29" s="9">
        <v>205814.54449999996</v>
      </c>
      <c r="C29" s="9">
        <v>248450.10600000012</v>
      </c>
      <c r="G29" s="5" t="s">
        <v>23</v>
      </c>
      <c r="H29" s="9">
        <v>378231.12899999984</v>
      </c>
      <c r="I29" s="9">
        <v>333939.79099999997</v>
      </c>
    </row>
    <row r="30" spans="1:9" x14ac:dyDescent="0.35">
      <c r="A30" s="5" t="s">
        <v>26</v>
      </c>
      <c r="B30" s="9">
        <v>257695.83050000004</v>
      </c>
      <c r="C30" s="9">
        <v>185283.94750000001</v>
      </c>
      <c r="G30" s="5" t="s">
        <v>2934</v>
      </c>
      <c r="H30" s="9">
        <v>1697869.9764999999</v>
      </c>
      <c r="I30" s="9">
        <v>1771954.78</v>
      </c>
    </row>
    <row r="31" spans="1:9" x14ac:dyDescent="0.35">
      <c r="A31" s="5" t="s">
        <v>25</v>
      </c>
      <c r="B31" s="9">
        <v>204482.16950000013</v>
      </c>
      <c r="C31" s="9">
        <v>170029.34599999996</v>
      </c>
    </row>
    <row r="32" spans="1:9" x14ac:dyDescent="0.35">
      <c r="A32" s="5" t="s">
        <v>2934</v>
      </c>
      <c r="B32" s="9">
        <v>1697869.9764999999</v>
      </c>
      <c r="C32" s="9">
        <v>1771954.78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6631-F844-42D3-BE56-9143A0F91511}">
  <dimension ref="A3:I45"/>
  <sheetViews>
    <sheetView topLeftCell="A20" zoomScale="59" zoomScaleNormal="100" workbookViewId="0">
      <selection activeCell="T32" sqref="T32"/>
    </sheetView>
  </sheetViews>
  <sheetFormatPr defaultRowHeight="14.5" x14ac:dyDescent="0.35"/>
  <cols>
    <col min="1" max="1" width="10.7265625" bestFit="1" customWidth="1"/>
    <col min="2" max="2" width="15.36328125" bestFit="1" customWidth="1"/>
    <col min="3" max="4" width="14.90625" bestFit="1" customWidth="1"/>
    <col min="8" max="8" width="11.6328125" bestFit="1" customWidth="1"/>
    <col min="9" max="9" width="8.81640625" bestFit="1" customWidth="1"/>
  </cols>
  <sheetData>
    <row r="3" spans="1:9" x14ac:dyDescent="0.35">
      <c r="A3" s="4" t="s">
        <v>2947</v>
      </c>
      <c r="B3" s="4" t="s">
        <v>2951</v>
      </c>
      <c r="C3" t="s">
        <v>2938</v>
      </c>
      <c r="D3" t="s">
        <v>2948</v>
      </c>
      <c r="H3" t="s">
        <v>2952</v>
      </c>
      <c r="I3" t="s">
        <v>2953</v>
      </c>
    </row>
    <row r="4" spans="1:9" x14ac:dyDescent="0.35">
      <c r="A4" t="s">
        <v>2935</v>
      </c>
      <c r="B4" t="s">
        <v>2943</v>
      </c>
      <c r="C4" s="6">
        <v>502717.79600000009</v>
      </c>
      <c r="D4" s="6">
        <v>1753</v>
      </c>
      <c r="F4" t="str">
        <f>A4</f>
        <v>2023</v>
      </c>
      <c r="G4" t="str">
        <f t="shared" ref="G4:I13" si="0">B4</f>
        <v>Qtr1</v>
      </c>
      <c r="H4" s="10">
        <f t="shared" si="0"/>
        <v>502717.79600000009</v>
      </c>
      <c r="I4" s="10">
        <f>H4/D4</f>
        <v>286.77569652025107</v>
      </c>
    </row>
    <row r="5" spans="1:9" x14ac:dyDescent="0.35">
      <c r="B5" t="s">
        <v>2944</v>
      </c>
      <c r="C5" s="6">
        <v>400622.36049999995</v>
      </c>
      <c r="D5" s="6">
        <v>1343</v>
      </c>
      <c r="G5" t="str">
        <f t="shared" si="0"/>
        <v>Qtr2</v>
      </c>
      <c r="H5" s="10">
        <f t="shared" si="0"/>
        <v>400622.36049999995</v>
      </c>
      <c r="I5" s="10">
        <f t="shared" ref="I5:I13" si="1">H5/D5</f>
        <v>298.30406589724493</v>
      </c>
    </row>
    <row r="6" spans="1:9" x14ac:dyDescent="0.35">
      <c r="B6" t="s">
        <v>2945</v>
      </c>
      <c r="C6" s="6">
        <v>451217.88299999974</v>
      </c>
      <c r="D6" s="6">
        <v>1608</v>
      </c>
      <c r="G6" t="str">
        <f t="shared" si="0"/>
        <v>Qtr3</v>
      </c>
      <c r="H6" s="10">
        <f t="shared" si="0"/>
        <v>451217.88299999974</v>
      </c>
      <c r="I6" s="10">
        <f t="shared" si="1"/>
        <v>280.60813619402967</v>
      </c>
    </row>
    <row r="7" spans="1:9" x14ac:dyDescent="0.35">
      <c r="B7" t="s">
        <v>2946</v>
      </c>
      <c r="C7" s="6">
        <v>343311.93700000015</v>
      </c>
      <c r="D7" s="6">
        <v>1350</v>
      </c>
      <c r="G7" t="str">
        <f t="shared" si="0"/>
        <v>Qtr4</v>
      </c>
      <c r="H7" s="10">
        <f t="shared" si="0"/>
        <v>343311.93700000015</v>
      </c>
      <c r="I7" s="10">
        <f t="shared" si="1"/>
        <v>254.30513851851862</v>
      </c>
    </row>
    <row r="8" spans="1:9" x14ac:dyDescent="0.35">
      <c r="A8" t="s">
        <v>2936</v>
      </c>
      <c r="B8" t="s">
        <v>2943</v>
      </c>
      <c r="C8" s="6">
        <v>450312.9774999998</v>
      </c>
      <c r="D8" s="6">
        <v>1618</v>
      </c>
      <c r="F8" t="str">
        <f t="shared" ref="F5:F13" si="2">A8</f>
        <v>2024</v>
      </c>
      <c r="G8" t="str">
        <f t="shared" si="0"/>
        <v>Qtr1</v>
      </c>
      <c r="H8" s="10">
        <f t="shared" si="0"/>
        <v>450312.9774999998</v>
      </c>
      <c r="I8" s="10">
        <f t="shared" si="1"/>
        <v>278.31457200247206</v>
      </c>
    </row>
    <row r="9" spans="1:9" x14ac:dyDescent="0.35">
      <c r="B9" t="s">
        <v>2944</v>
      </c>
      <c r="C9" s="6">
        <v>461674.88350000005</v>
      </c>
      <c r="D9" s="6">
        <v>1549</v>
      </c>
      <c r="G9" t="str">
        <f t="shared" si="0"/>
        <v>Qtr2</v>
      </c>
      <c r="H9" s="10">
        <f t="shared" si="0"/>
        <v>461674.88350000005</v>
      </c>
      <c r="I9" s="10">
        <f t="shared" si="1"/>
        <v>298.04705196901227</v>
      </c>
    </row>
    <row r="10" spans="1:9" x14ac:dyDescent="0.35">
      <c r="B10" t="s">
        <v>2945</v>
      </c>
      <c r="C10" s="6">
        <v>400585.81699999998</v>
      </c>
      <c r="D10" s="6">
        <v>1460</v>
      </c>
      <c r="G10" t="str">
        <f t="shared" si="0"/>
        <v>Qtr3</v>
      </c>
      <c r="H10" s="10">
        <f t="shared" si="0"/>
        <v>400585.81699999998</v>
      </c>
      <c r="I10" s="10">
        <f t="shared" si="1"/>
        <v>274.37384726027398</v>
      </c>
    </row>
    <row r="11" spans="1:9" x14ac:dyDescent="0.35">
      <c r="B11" t="s">
        <v>2946</v>
      </c>
      <c r="C11" s="6">
        <v>459381.10200000007</v>
      </c>
      <c r="D11" s="6">
        <v>1588</v>
      </c>
      <c r="G11" t="str">
        <f t="shared" si="0"/>
        <v>Qtr4</v>
      </c>
      <c r="H11" s="10">
        <f t="shared" si="0"/>
        <v>459381.10200000007</v>
      </c>
      <c r="I11" s="10">
        <f t="shared" si="1"/>
        <v>289.28280982367761</v>
      </c>
    </row>
    <row r="12" spans="1:9" x14ac:dyDescent="0.35">
      <c r="A12" t="s">
        <v>2937</v>
      </c>
      <c r="B12" t="s">
        <v>2943</v>
      </c>
      <c r="C12" s="6">
        <v>492476.49499999988</v>
      </c>
      <c r="D12" s="6">
        <v>1844</v>
      </c>
      <c r="F12" t="str">
        <f t="shared" si="2"/>
        <v>2025</v>
      </c>
      <c r="G12" t="str">
        <f t="shared" si="0"/>
        <v>Qtr1</v>
      </c>
      <c r="H12" s="10">
        <f t="shared" si="0"/>
        <v>492476.49499999988</v>
      </c>
      <c r="I12" s="10">
        <f t="shared" si="1"/>
        <v>267.0696827548806</v>
      </c>
    </row>
    <row r="13" spans="1:9" x14ac:dyDescent="0.35">
      <c r="B13" t="s">
        <v>2944</v>
      </c>
      <c r="C13" s="6">
        <v>417691.17700000008</v>
      </c>
      <c r="D13" s="6">
        <v>1503</v>
      </c>
      <c r="G13" t="str">
        <f t="shared" si="0"/>
        <v>Qtr2</v>
      </c>
      <c r="H13" s="10">
        <f t="shared" si="0"/>
        <v>417691.17700000008</v>
      </c>
      <c r="I13" s="10">
        <f t="shared" si="1"/>
        <v>277.90497471723228</v>
      </c>
    </row>
    <row r="14" spans="1:9" x14ac:dyDescent="0.35">
      <c r="A14" t="s">
        <v>2934</v>
      </c>
      <c r="C14" s="6">
        <v>4379992.4284999995</v>
      </c>
      <c r="D14" s="6">
        <v>15616</v>
      </c>
    </row>
    <row r="39" spans="1:6" x14ac:dyDescent="0.35">
      <c r="A39" s="4" t="s">
        <v>1</v>
      </c>
      <c r="B39" t="s">
        <v>2938</v>
      </c>
      <c r="C39" t="s">
        <v>2948</v>
      </c>
      <c r="E39" t="s">
        <v>1</v>
      </c>
      <c r="F39" t="s">
        <v>2952</v>
      </c>
    </row>
    <row r="40" spans="1:6" x14ac:dyDescent="0.35">
      <c r="A40" t="s">
        <v>21</v>
      </c>
      <c r="B40" s="6">
        <v>967957.98000000068</v>
      </c>
      <c r="C40" s="6">
        <v>3442</v>
      </c>
      <c r="E40" t="str">
        <f>A40</f>
        <v>North</v>
      </c>
      <c r="F40">
        <f>B40</f>
        <v>967957.98000000068</v>
      </c>
    </row>
    <row r="41" spans="1:6" x14ac:dyDescent="0.35">
      <c r="A41" t="s">
        <v>19</v>
      </c>
      <c r="B41" s="6">
        <v>883633.71800000116</v>
      </c>
      <c r="C41" s="6">
        <v>3078</v>
      </c>
      <c r="E41" t="str">
        <f t="shared" ref="E41:E44" si="3">A41</f>
        <v>East</v>
      </c>
      <c r="F41">
        <f t="shared" ref="F41:F44" si="4">B41</f>
        <v>883633.71800000116</v>
      </c>
    </row>
    <row r="42" spans="1:6" x14ac:dyDescent="0.35">
      <c r="A42" t="s">
        <v>23</v>
      </c>
      <c r="B42" s="6">
        <v>853478.85900000029</v>
      </c>
      <c r="C42" s="6">
        <v>3041</v>
      </c>
      <c r="E42" t="str">
        <f t="shared" si="3"/>
        <v>West</v>
      </c>
      <c r="F42">
        <f t="shared" si="4"/>
        <v>853478.85900000029</v>
      </c>
    </row>
    <row r="43" spans="1:6" x14ac:dyDescent="0.35">
      <c r="A43" t="s">
        <v>22</v>
      </c>
      <c r="B43" s="6">
        <v>847153.68450000032</v>
      </c>
      <c r="C43" s="6">
        <v>3102</v>
      </c>
      <c r="E43" t="str">
        <f t="shared" si="3"/>
        <v>Central</v>
      </c>
      <c r="F43">
        <f t="shared" si="4"/>
        <v>847153.68450000032</v>
      </c>
    </row>
    <row r="44" spans="1:6" x14ac:dyDescent="0.35">
      <c r="A44" t="s">
        <v>20</v>
      </c>
      <c r="B44" s="6">
        <v>827768.18699999992</v>
      </c>
      <c r="C44" s="6">
        <v>2953</v>
      </c>
      <c r="E44" t="str">
        <f t="shared" si="3"/>
        <v>South</v>
      </c>
      <c r="F44">
        <f t="shared" si="4"/>
        <v>827768.18699999992</v>
      </c>
    </row>
    <row r="45" spans="1:6" x14ac:dyDescent="0.35">
      <c r="A45" t="s">
        <v>2934</v>
      </c>
      <c r="B45" s="6">
        <v>4379992.4285000023</v>
      </c>
      <c r="C45" s="6">
        <v>15616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3F262-AD83-43C8-9A90-EA5C710482AB}">
  <sheetPr>
    <pageSetUpPr fitToPage="1"/>
  </sheetPr>
  <dimension ref="B9:X31"/>
  <sheetViews>
    <sheetView showGridLines="0" tabSelected="1" zoomScale="57" zoomScaleNormal="47" workbookViewId="0">
      <selection activeCell="AA9" sqref="AA9"/>
    </sheetView>
  </sheetViews>
  <sheetFormatPr defaultRowHeight="14.5" x14ac:dyDescent="0.35"/>
  <cols>
    <col min="2" max="2" width="8.7265625" customWidth="1"/>
    <col min="4" max="4" width="11.7265625" bestFit="1" customWidth="1"/>
    <col min="5" max="6" width="11.26953125" bestFit="1" customWidth="1"/>
    <col min="10" max="10" width="11.7265625" bestFit="1" customWidth="1"/>
    <col min="11" max="12" width="11.26953125" bestFit="1" customWidth="1"/>
    <col min="16" max="16" width="11.7265625" bestFit="1" customWidth="1"/>
    <col min="17" max="17" width="11.26953125" bestFit="1" customWidth="1"/>
    <col min="18" max="18" width="11.08984375" bestFit="1" customWidth="1"/>
    <col min="21" max="21" width="8.7265625" customWidth="1"/>
    <col min="22" max="22" width="11.7265625" bestFit="1" customWidth="1"/>
    <col min="23" max="24" width="11.26953125" bestFit="1" customWidth="1"/>
  </cols>
  <sheetData>
    <row r="9" spans="2:24" x14ac:dyDescent="0.35">
      <c r="B9" s="11"/>
      <c r="C9" s="12"/>
      <c r="D9" s="13"/>
    </row>
    <row r="10" spans="2:24" x14ac:dyDescent="0.35">
      <c r="B10" s="14"/>
      <c r="C10" s="14"/>
      <c r="D10" s="14"/>
    </row>
    <row r="11" spans="2:24" x14ac:dyDescent="0.35">
      <c r="B11" s="14"/>
      <c r="C11" s="14"/>
      <c r="D11" s="14"/>
    </row>
    <row r="12" spans="2:24" ht="18.5" customHeight="1" x14ac:dyDescent="0.35">
      <c r="B12" s="14"/>
      <c r="C12" s="14"/>
      <c r="D12" s="14"/>
    </row>
    <row r="13" spans="2:24" ht="28.5" customHeight="1" x14ac:dyDescent="0.35"/>
    <row r="14" spans="2:24" x14ac:dyDescent="0.35">
      <c r="B14" s="3"/>
      <c r="F14" s="3"/>
      <c r="G14" s="3"/>
      <c r="K14" s="3"/>
      <c r="P14" s="3"/>
      <c r="U14" s="3"/>
      <c r="X14" s="3"/>
    </row>
    <row r="15" spans="2:24" ht="41" customHeight="1" x14ac:dyDescent="0.35">
      <c r="T15" s="17"/>
      <c r="U15" s="17"/>
      <c r="V15" s="18"/>
      <c r="W15" s="18"/>
      <c r="X15" s="19"/>
    </row>
    <row r="16" spans="2:24" ht="15.5" x14ac:dyDescent="0.35">
      <c r="B16" s="26" t="s">
        <v>2</v>
      </c>
      <c r="C16" s="26"/>
      <c r="D16" s="27">
        <v>2023</v>
      </c>
      <c r="E16" s="27">
        <v>2024</v>
      </c>
      <c r="F16" s="28" t="s">
        <v>2954</v>
      </c>
      <c r="H16" s="17" t="s">
        <v>1</v>
      </c>
      <c r="I16" s="17"/>
      <c r="J16" s="18">
        <v>2023</v>
      </c>
      <c r="K16" s="18">
        <v>2024</v>
      </c>
      <c r="L16" s="19" t="s">
        <v>2954</v>
      </c>
      <c r="N16" s="17" t="s">
        <v>2</v>
      </c>
      <c r="O16" s="17"/>
      <c r="P16" s="18">
        <v>2023</v>
      </c>
      <c r="Q16" s="18">
        <v>2024</v>
      </c>
      <c r="R16" s="19" t="s">
        <v>2954</v>
      </c>
      <c r="T16" s="17" t="s">
        <v>1</v>
      </c>
      <c r="U16" s="17"/>
      <c r="V16" s="18">
        <v>2023</v>
      </c>
      <c r="W16" s="18">
        <v>2024</v>
      </c>
      <c r="X16" s="19" t="s">
        <v>2954</v>
      </c>
    </row>
    <row r="17" spans="2:24" x14ac:dyDescent="0.35">
      <c r="B17" s="29" t="str">
        <f>Sheet3!A8</f>
        <v>Tablet</v>
      </c>
      <c r="C17" s="29"/>
      <c r="D17" s="30">
        <f>Sheet3!B8</f>
        <v>268581.73800000001</v>
      </c>
      <c r="E17" s="30">
        <f>Sheet3!C8</f>
        <v>297185.16099999991</v>
      </c>
      <c r="F17" s="33">
        <f>D17/E17-1</f>
        <v>-9.6247817030137295E-2</v>
      </c>
      <c r="H17" s="15" t="str">
        <f>Sheet3!G8</f>
        <v>Central</v>
      </c>
      <c r="I17" s="15"/>
      <c r="J17" s="9">
        <f>Sheet3!H8</f>
        <v>317187.36950000009</v>
      </c>
      <c r="K17" s="9">
        <f>Sheet3!I8</f>
        <v>316403.46549999993</v>
      </c>
      <c r="L17" s="33">
        <f>J17/K17-1</f>
        <v>2.4775455564665094E-3</v>
      </c>
      <c r="N17" s="15" t="str">
        <f>Sheet3!A25</f>
        <v>Tablet</v>
      </c>
      <c r="O17" s="15"/>
      <c r="P17" s="9">
        <f>Sheet3!B25</f>
        <v>268581.73800000001</v>
      </c>
      <c r="Q17" s="9">
        <f>Sheet3!C25</f>
        <v>297185.16099999991</v>
      </c>
      <c r="R17" s="33">
        <f>P17/Q17-1</f>
        <v>-9.6247817030137295E-2</v>
      </c>
      <c r="T17" s="15" t="str">
        <f>Sheet3!G25</f>
        <v>Central</v>
      </c>
      <c r="U17" s="15"/>
      <c r="V17" s="9">
        <f>Sheet3!H25</f>
        <v>317187.36950000009</v>
      </c>
      <c r="W17" s="9">
        <f>Sheet3!I25</f>
        <v>316403.46549999993</v>
      </c>
      <c r="X17" s="33">
        <f>V17/W17-1</f>
        <v>2.4775455564665094E-3</v>
      </c>
    </row>
    <row r="18" spans="2:24" x14ac:dyDescent="0.35">
      <c r="B18" s="29" t="str">
        <f>Sheet3!A9</f>
        <v>Monitor</v>
      </c>
      <c r="C18" s="29"/>
      <c r="D18" s="30">
        <f>Sheet3!B9</f>
        <v>252496.86299999998</v>
      </c>
      <c r="E18" s="30">
        <f>Sheet3!C9</f>
        <v>294518.326</v>
      </c>
      <c r="F18" s="33">
        <f t="shared" ref="F18:F24" si="0">D18/E18-1</f>
        <v>-0.14267860194207416</v>
      </c>
      <c r="H18" s="15" t="str">
        <f>Sheet3!G9</f>
        <v>East</v>
      </c>
      <c r="I18" s="15"/>
      <c r="J18" s="9">
        <f>Sheet3!H9</f>
        <v>311347.11799999973</v>
      </c>
      <c r="K18" s="9">
        <f>Sheet3!I9</f>
        <v>361402.36800000002</v>
      </c>
      <c r="L18" s="33">
        <f t="shared" ref="L18:L22" si="1">J18/K18-1</f>
        <v>-0.13850282796154867</v>
      </c>
      <c r="N18" s="15" t="str">
        <f>Sheet3!A26</f>
        <v>Monitor</v>
      </c>
      <c r="O18" s="15"/>
      <c r="P18" s="9">
        <f>Sheet3!B26</f>
        <v>252496.86299999998</v>
      </c>
      <c r="Q18" s="9">
        <f>Sheet3!C26</f>
        <v>294518.326</v>
      </c>
      <c r="R18" s="33">
        <f t="shared" ref="R18:R24" si="2">P18/Q18-1</f>
        <v>-0.14267860194207416</v>
      </c>
      <c r="T18" s="15" t="str">
        <f>Sheet3!G26</f>
        <v>East</v>
      </c>
      <c r="U18" s="15"/>
      <c r="V18" s="9">
        <f>Sheet3!H26</f>
        <v>311347.11799999973</v>
      </c>
      <c r="W18" s="9">
        <f>Sheet3!I26</f>
        <v>361402.36800000002</v>
      </c>
      <c r="X18" s="33">
        <f t="shared" ref="X18:X22" si="3">V18/W18-1</f>
        <v>-0.13850282796154867</v>
      </c>
    </row>
    <row r="19" spans="2:24" x14ac:dyDescent="0.35">
      <c r="B19" s="29" t="str">
        <f>Sheet3!A10</f>
        <v>Laptop</v>
      </c>
      <c r="C19" s="29"/>
      <c r="D19" s="30">
        <f>Sheet3!B10</f>
        <v>286177.20099999994</v>
      </c>
      <c r="E19" s="30">
        <f>Sheet3!C10</f>
        <v>256697.06849999996</v>
      </c>
      <c r="F19" s="33">
        <f t="shared" si="0"/>
        <v>0.11484405596162839</v>
      </c>
      <c r="H19" s="15" t="str">
        <f>Sheet3!G10</f>
        <v>North</v>
      </c>
      <c r="I19" s="15"/>
      <c r="J19" s="9">
        <f>Sheet3!H10</f>
        <v>360780.62300000025</v>
      </c>
      <c r="K19" s="9">
        <f>Sheet3!I10</f>
        <v>377736.98899999994</v>
      </c>
      <c r="L19" s="33">
        <f t="shared" si="1"/>
        <v>-4.4889344951070442E-2</v>
      </c>
      <c r="N19" s="15" t="str">
        <f>Sheet3!A27</f>
        <v>Laptop</v>
      </c>
      <c r="O19" s="15"/>
      <c r="P19" s="9">
        <f>Sheet3!B27</f>
        <v>286177.20099999994</v>
      </c>
      <c r="Q19" s="9">
        <f>Sheet3!C27</f>
        <v>256697.06849999996</v>
      </c>
      <c r="R19" s="33">
        <f t="shared" si="2"/>
        <v>0.11484405596162839</v>
      </c>
      <c r="T19" s="15" t="str">
        <f>Sheet3!G27</f>
        <v>North</v>
      </c>
      <c r="U19" s="15"/>
      <c r="V19" s="9">
        <f>Sheet3!H27</f>
        <v>360780.62300000025</v>
      </c>
      <c r="W19" s="9">
        <f>Sheet3!I27</f>
        <v>377736.98899999994</v>
      </c>
      <c r="X19" s="33">
        <f t="shared" si="3"/>
        <v>-4.4889344951070442E-2</v>
      </c>
    </row>
    <row r="20" spans="2:24" x14ac:dyDescent="0.35">
      <c r="B20" s="29" t="str">
        <f>Sheet3!A11</f>
        <v>Printer</v>
      </c>
      <c r="C20" s="29"/>
      <c r="D20" s="30">
        <f>Sheet3!B11</f>
        <v>222621.63</v>
      </c>
      <c r="E20" s="30">
        <f>Sheet3!C11</f>
        <v>319790.8249999999</v>
      </c>
      <c r="F20" s="33">
        <f t="shared" si="0"/>
        <v>-0.30385235411303602</v>
      </c>
      <c r="H20" s="15" t="str">
        <f>Sheet3!G11</f>
        <v>South</v>
      </c>
      <c r="I20" s="15"/>
      <c r="J20" s="9">
        <f>Sheet3!H11</f>
        <v>330323.73699999991</v>
      </c>
      <c r="K20" s="9">
        <f>Sheet3!I11</f>
        <v>382472.16650000022</v>
      </c>
      <c r="L20" s="33">
        <f t="shared" si="1"/>
        <v>-0.1363456849088136</v>
      </c>
      <c r="N20" s="15" t="str">
        <f>Sheet3!A28</f>
        <v>Printer</v>
      </c>
      <c r="O20" s="15"/>
      <c r="P20" s="9">
        <f>Sheet3!B28</f>
        <v>222621.63</v>
      </c>
      <c r="Q20" s="9">
        <f>Sheet3!C28</f>
        <v>319790.8249999999</v>
      </c>
      <c r="R20" s="33">
        <f t="shared" si="2"/>
        <v>-0.30385235411303602</v>
      </c>
      <c r="T20" s="15" t="str">
        <f>Sheet3!G28</f>
        <v>South</v>
      </c>
      <c r="U20" s="15"/>
      <c r="V20" s="9">
        <f>Sheet3!H28</f>
        <v>330323.73699999991</v>
      </c>
      <c r="W20" s="9">
        <f>Sheet3!I28</f>
        <v>382472.16650000022</v>
      </c>
      <c r="X20" s="33">
        <f t="shared" si="3"/>
        <v>-0.1363456849088136</v>
      </c>
    </row>
    <row r="21" spans="2:24" x14ac:dyDescent="0.35">
      <c r="B21" s="29" t="str">
        <f>Sheet3!A12</f>
        <v>Chair</v>
      </c>
      <c r="C21" s="29"/>
      <c r="D21" s="30">
        <f>Sheet3!B12</f>
        <v>205814.54449999996</v>
      </c>
      <c r="E21" s="30">
        <f>Sheet3!C12</f>
        <v>248450.10600000012</v>
      </c>
      <c r="F21" s="33">
        <f t="shared" si="0"/>
        <v>-0.17160613125276802</v>
      </c>
      <c r="H21" s="15" t="str">
        <f>Sheet3!G12</f>
        <v>West</v>
      </c>
      <c r="I21" s="15"/>
      <c r="J21" s="9">
        <f>Sheet3!H12</f>
        <v>378231.12899999984</v>
      </c>
      <c r="K21" s="9">
        <f>Sheet3!I12</f>
        <v>333939.79099999997</v>
      </c>
      <c r="L21" s="33">
        <f t="shared" si="1"/>
        <v>0.1326327056364478</v>
      </c>
      <c r="N21" s="15" t="str">
        <f>Sheet3!A29</f>
        <v>Chair</v>
      </c>
      <c r="O21" s="15"/>
      <c r="P21" s="9">
        <f>Sheet3!B29</f>
        <v>205814.54449999996</v>
      </c>
      <c r="Q21" s="9">
        <f>Sheet3!C29</f>
        <v>248450.10600000012</v>
      </c>
      <c r="R21" s="33">
        <f t="shared" si="2"/>
        <v>-0.17160613125276802</v>
      </c>
      <c r="T21" s="15" t="str">
        <f>Sheet3!G29</f>
        <v>West</v>
      </c>
      <c r="U21" s="15"/>
      <c r="V21" s="9">
        <f>Sheet3!H29</f>
        <v>378231.12899999984</v>
      </c>
      <c r="W21" s="9">
        <f>Sheet3!I29</f>
        <v>333939.79099999997</v>
      </c>
      <c r="X21" s="33">
        <f t="shared" si="3"/>
        <v>0.1326327056364478</v>
      </c>
    </row>
    <row r="22" spans="2:24" x14ac:dyDescent="0.35">
      <c r="B22" s="29" t="str">
        <f>Sheet3!A13</f>
        <v>Desk</v>
      </c>
      <c r="C22" s="29"/>
      <c r="D22" s="30">
        <f>Sheet3!B13</f>
        <v>257695.83050000004</v>
      </c>
      <c r="E22" s="30">
        <f>Sheet3!C13</f>
        <v>185283.94750000001</v>
      </c>
      <c r="F22" s="33">
        <f t="shared" si="0"/>
        <v>0.39081573971754913</v>
      </c>
      <c r="H22" s="16" t="s">
        <v>2955</v>
      </c>
      <c r="I22" s="15"/>
      <c r="J22" s="20">
        <f>Sheet3!H13</f>
        <v>1697869.9764999999</v>
      </c>
      <c r="K22" s="20">
        <f>Sheet3!I13</f>
        <v>1771954.78</v>
      </c>
      <c r="L22" s="34">
        <f t="shared" si="1"/>
        <v>-4.1809646801483358E-2</v>
      </c>
      <c r="N22" s="15" t="str">
        <f>Sheet3!A30</f>
        <v>Desk</v>
      </c>
      <c r="O22" s="15"/>
      <c r="P22" s="9">
        <f>Sheet3!B30</f>
        <v>257695.83050000004</v>
      </c>
      <c r="Q22" s="9">
        <f>Sheet3!C30</f>
        <v>185283.94750000001</v>
      </c>
      <c r="R22" s="33">
        <f t="shared" si="2"/>
        <v>0.39081573971754913</v>
      </c>
      <c r="T22" s="16" t="s">
        <v>2955</v>
      </c>
      <c r="U22" s="16"/>
      <c r="V22" s="20">
        <f>Sheet3!H30</f>
        <v>1697869.9764999999</v>
      </c>
      <c r="W22" s="20">
        <f>Sheet3!I30</f>
        <v>1771954.78</v>
      </c>
      <c r="X22" s="34">
        <f t="shared" si="3"/>
        <v>-4.1809646801483358E-2</v>
      </c>
    </row>
    <row r="23" spans="2:24" x14ac:dyDescent="0.35">
      <c r="B23" s="29" t="str">
        <f>Sheet3!A14</f>
        <v>Phone</v>
      </c>
      <c r="C23" s="29"/>
      <c r="D23" s="30">
        <f>Sheet3!B14</f>
        <v>204482.16950000013</v>
      </c>
      <c r="E23" s="30">
        <f>Sheet3!C14</f>
        <v>170029.34599999996</v>
      </c>
      <c r="F23" s="33">
        <f t="shared" si="0"/>
        <v>0.2026286891675757</v>
      </c>
      <c r="J23" s="9"/>
      <c r="K23" s="9"/>
      <c r="L23" s="21"/>
      <c r="N23" s="15" t="str">
        <f>Sheet3!A31</f>
        <v>Phone</v>
      </c>
      <c r="O23" s="15"/>
      <c r="P23" s="9">
        <f>Sheet3!B31</f>
        <v>204482.16950000013</v>
      </c>
      <c r="Q23" s="9">
        <f>Sheet3!C31</f>
        <v>170029.34599999996</v>
      </c>
      <c r="R23" s="33">
        <f t="shared" si="2"/>
        <v>0.2026286891675757</v>
      </c>
    </row>
    <row r="24" spans="2:24" x14ac:dyDescent="0.35">
      <c r="B24" s="31" t="s">
        <v>2955</v>
      </c>
      <c r="C24" s="29"/>
      <c r="D24" s="32">
        <f>Sheet3!B15</f>
        <v>1697869.9764999999</v>
      </c>
      <c r="E24" s="32">
        <f>Sheet3!C15</f>
        <v>1771954.78</v>
      </c>
      <c r="F24" s="34">
        <f t="shared" si="0"/>
        <v>-4.1809646801483358E-2</v>
      </c>
      <c r="J24" s="20"/>
      <c r="K24" s="20"/>
      <c r="L24" s="22"/>
      <c r="N24" s="16" t="s">
        <v>2955</v>
      </c>
      <c r="O24" s="16"/>
      <c r="P24" s="20">
        <f>Sheet3!B32</f>
        <v>1697869.9764999999</v>
      </c>
      <c r="Q24" s="20">
        <f>Sheet3!C32</f>
        <v>1771954.78</v>
      </c>
      <c r="R24" s="34">
        <f t="shared" si="2"/>
        <v>-4.1809646801483358E-2</v>
      </c>
      <c r="T24" s="24"/>
      <c r="U24" s="24"/>
      <c r="V24" s="9"/>
      <c r="W24" s="9"/>
      <c r="X24" s="21"/>
    </row>
    <row r="25" spans="2:24" x14ac:dyDescent="0.35">
      <c r="T25" s="24"/>
      <c r="U25" s="24"/>
      <c r="V25" s="9"/>
      <c r="W25" s="9"/>
      <c r="X25" s="21"/>
    </row>
    <row r="26" spans="2:24" x14ac:dyDescent="0.35">
      <c r="T26" s="24"/>
      <c r="U26" s="24"/>
      <c r="V26" s="9"/>
      <c r="W26" s="9"/>
      <c r="X26" s="23"/>
    </row>
    <row r="27" spans="2:24" x14ac:dyDescent="0.35">
      <c r="T27" s="24"/>
      <c r="U27" s="24"/>
      <c r="V27" s="9"/>
      <c r="W27" s="9"/>
      <c r="X27" s="21"/>
    </row>
    <row r="28" spans="2:24" x14ac:dyDescent="0.35">
      <c r="T28" s="24"/>
      <c r="U28" s="24"/>
      <c r="V28" s="9"/>
      <c r="W28" s="9"/>
      <c r="X28" s="21"/>
    </row>
    <row r="29" spans="2:24" x14ac:dyDescent="0.35">
      <c r="T29" s="24"/>
      <c r="U29" s="24"/>
      <c r="V29" s="9"/>
      <c r="W29" s="9"/>
      <c r="X29" s="23"/>
    </row>
    <row r="30" spans="2:24" x14ac:dyDescent="0.35">
      <c r="T30" s="24"/>
      <c r="U30" s="24"/>
      <c r="V30" s="9"/>
      <c r="W30" s="9"/>
      <c r="X30" s="23"/>
    </row>
    <row r="31" spans="2:24" x14ac:dyDescent="0.35">
      <c r="T31" s="25"/>
      <c r="U31" s="24"/>
      <c r="V31" s="20"/>
      <c r="W31" s="20"/>
      <c r="X31" s="22"/>
    </row>
  </sheetData>
  <mergeCells count="33">
    <mergeCell ref="T22:U22"/>
    <mergeCell ref="T15:U15"/>
    <mergeCell ref="T17:U17"/>
    <mergeCell ref="T18:U18"/>
    <mergeCell ref="T19:U19"/>
    <mergeCell ref="T20:U20"/>
    <mergeCell ref="T21:U21"/>
    <mergeCell ref="N23:O23"/>
    <mergeCell ref="N24:O24"/>
    <mergeCell ref="N17:O17"/>
    <mergeCell ref="N18:O18"/>
    <mergeCell ref="N19:O19"/>
    <mergeCell ref="N20:O20"/>
    <mergeCell ref="N21:O21"/>
    <mergeCell ref="N22:O22"/>
    <mergeCell ref="B24:C24"/>
    <mergeCell ref="H17:I17"/>
    <mergeCell ref="H18:I18"/>
    <mergeCell ref="H19:I19"/>
    <mergeCell ref="H20:I20"/>
    <mergeCell ref="H21:I21"/>
    <mergeCell ref="H22:I22"/>
    <mergeCell ref="T16:U16"/>
    <mergeCell ref="B17:C17"/>
    <mergeCell ref="B18:C18"/>
    <mergeCell ref="B19:C19"/>
    <mergeCell ref="B20:C20"/>
    <mergeCell ref="B21:C21"/>
    <mergeCell ref="B22:C22"/>
    <mergeCell ref="B23:C23"/>
    <mergeCell ref="B16:C16"/>
    <mergeCell ref="H16:I16"/>
    <mergeCell ref="N16:O16"/>
  </mergeCells>
  <pageMargins left="0.25" right="0.25" top="0.75" bottom="0.75" header="0.3" footer="0.3"/>
  <pageSetup paperSize="9" scale="56"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4" id="{74666B39-8357-4918-84F9-B838645F00AB}">
            <x14:iconSet iconSet="3Triangles">
              <x14:cfvo type="percent">
                <xm:f>0</xm:f>
              </x14:cfvo>
              <x14:cfvo type="percent">
                <xm:f>33</xm:f>
              </x14:cfvo>
              <x14:cfvo type="percent">
                <xm:f>67</xm:f>
              </x14:cfvo>
            </x14:iconSet>
          </x14:cfRule>
          <xm:sqref>F17:F24</xm:sqref>
        </x14:conditionalFormatting>
        <x14:conditionalFormatting xmlns:xm="http://schemas.microsoft.com/office/excel/2006/main">
          <x14:cfRule type="iconSet" priority="3" id="{91C466A0-240C-45CA-8547-F435B7F09936}">
            <x14:iconSet iconSet="3Triangles">
              <x14:cfvo type="percent">
                <xm:f>0</xm:f>
              </x14:cfvo>
              <x14:cfvo type="percent">
                <xm:f>33</xm:f>
              </x14:cfvo>
              <x14:cfvo type="percent">
                <xm:f>67</xm:f>
              </x14:cfvo>
            </x14:iconSet>
          </x14:cfRule>
          <xm:sqref>L17:L22</xm:sqref>
        </x14:conditionalFormatting>
        <x14:conditionalFormatting xmlns:xm="http://schemas.microsoft.com/office/excel/2006/main">
          <x14:cfRule type="iconSet" priority="2" id="{9611C540-4376-4808-9729-835D6A4CAF79}">
            <x14:iconSet iconSet="3Triangles">
              <x14:cfvo type="percent">
                <xm:f>0</xm:f>
              </x14:cfvo>
              <x14:cfvo type="percent">
                <xm:f>33</xm:f>
              </x14:cfvo>
              <x14:cfvo type="percent">
                <xm:f>67</xm:f>
              </x14:cfvo>
            </x14:iconSet>
          </x14:cfRule>
          <xm:sqref>R17:R24</xm:sqref>
        </x14:conditionalFormatting>
        <x14:conditionalFormatting xmlns:xm="http://schemas.microsoft.com/office/excel/2006/main">
          <x14:cfRule type="iconSet" priority="1" id="{E8D4B0E0-B083-45CC-A445-F842D41D77B1}">
            <x14:iconSet iconSet="3Triangles">
              <x14:cfvo type="percent">
                <xm:f>0</xm:f>
              </x14:cfvo>
              <x14:cfvo type="percent">
                <xm:f>33</xm:f>
              </x14:cfvo>
              <x14:cfvo type="percent">
                <xm:f>67</xm:f>
              </x14:cfvo>
            </x14:iconSet>
          </x14:cfRule>
          <xm:sqref>X17:X22</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1"/>
  <sheetViews>
    <sheetView topLeftCell="L1" zoomScale="54" zoomScaleNormal="54" workbookViewId="0">
      <selection activeCell="Y1" sqref="Y1"/>
    </sheetView>
  </sheetViews>
  <sheetFormatPr defaultRowHeight="14.5" x14ac:dyDescent="0.35"/>
  <cols>
    <col min="1" max="1" width="10.08984375" bestFit="1" customWidth="1"/>
    <col min="2" max="2" width="6.81640625" bestFit="1" customWidth="1"/>
    <col min="3" max="3" width="7.6328125" bestFit="1" customWidth="1"/>
    <col min="4" max="4" width="8.1796875" bestFit="1" customWidth="1"/>
    <col min="5" max="5" width="8.453125" bestFit="1" customWidth="1"/>
    <col min="6" max="6" width="12.36328125" bestFit="1" customWidth="1"/>
    <col min="7" max="7" width="13.08984375" bestFit="1" customWidth="1"/>
    <col min="8" max="8" width="8.1796875" bestFit="1" customWidth="1"/>
    <col min="9" max="9" width="10.81640625" bestFit="1" customWidth="1"/>
    <col min="10" max="10" width="9.81640625" bestFit="1" customWidth="1"/>
    <col min="11" max="11" width="15.08984375" bestFit="1" customWidth="1"/>
    <col min="12" max="12" width="9.81640625" bestFit="1" customWidth="1"/>
    <col min="13" max="13" width="8.6328125" bestFit="1" customWidth="1"/>
    <col min="14" max="14" width="10.1796875" bestFit="1" customWidth="1"/>
    <col min="15" max="15" width="14" bestFit="1" customWidth="1"/>
    <col min="16" max="16" width="11.6328125" bestFit="1" customWidth="1"/>
    <col min="17" max="17" width="10.08984375" bestFit="1" customWidth="1"/>
    <col min="18" max="18" width="11.54296875" bestFit="1" customWidth="1"/>
    <col min="19" max="19" width="14" bestFit="1" customWidth="1"/>
    <col min="20" max="20" width="13.26953125" bestFit="1" customWidth="1"/>
    <col min="21" max="21" width="16.7265625" bestFit="1" customWidth="1"/>
    <col min="23" max="23" width="12.08984375" bestFit="1" customWidth="1"/>
    <col min="25" max="25" width="10.453125" bestFit="1"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2927</v>
      </c>
      <c r="U1" s="3" t="s">
        <v>2928</v>
      </c>
      <c r="V1" s="3" t="s">
        <v>2929</v>
      </c>
      <c r="W1" s="3" t="s">
        <v>2930</v>
      </c>
      <c r="X1" s="3" t="s">
        <v>2931</v>
      </c>
      <c r="Y1" s="3" t="s">
        <v>2932</v>
      </c>
    </row>
    <row r="2" spans="1:25" x14ac:dyDescent="0.35">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c r="T2">
        <f>D2*E2</f>
        <v>2290.4</v>
      </c>
      <c r="U2">
        <f>T2*H2</f>
        <v>0</v>
      </c>
      <c r="V2">
        <f>T2-U2</f>
        <v>2290.4</v>
      </c>
      <c r="W2">
        <f>R2-Q2</f>
        <v>4</v>
      </c>
      <c r="X2">
        <f>V2-(E2*D2)</f>
        <v>0</v>
      </c>
      <c r="Y2">
        <f>IF(M2 = "Yes", -V2,0)</f>
        <v>0</v>
      </c>
    </row>
    <row r="3" spans="1:25" x14ac:dyDescent="0.35">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c r="T3">
        <f t="shared" ref="T3:T66" si="0">D3*E3</f>
        <v>544.01</v>
      </c>
      <c r="U3">
        <f t="shared" ref="U3:U66" si="1">T3*H3</f>
        <v>0</v>
      </c>
      <c r="V3">
        <f t="shared" ref="V3:V66" si="2">T3-U3</f>
        <v>544.01</v>
      </c>
      <c r="W3">
        <f t="shared" ref="W3:W66" si="3">R3-Q3</f>
        <v>9</v>
      </c>
      <c r="X3">
        <f t="shared" ref="X3:X66" si="4">V3-(E3*D3)</f>
        <v>0</v>
      </c>
      <c r="Y3">
        <f t="shared" ref="Y3:Y66" si="5">IF(M3 = "Yes", -V3,0)</f>
        <v>0</v>
      </c>
    </row>
    <row r="4" spans="1:25" x14ac:dyDescent="0.35">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c r="T4">
        <f t="shared" si="0"/>
        <v>4846.5200000000004</v>
      </c>
      <c r="U4">
        <f t="shared" si="1"/>
        <v>484.65200000000004</v>
      </c>
      <c r="V4">
        <f t="shared" si="2"/>
        <v>4361.8680000000004</v>
      </c>
      <c r="W4">
        <f t="shared" si="3"/>
        <v>9</v>
      </c>
      <c r="X4">
        <f t="shared" si="4"/>
        <v>-484.65200000000004</v>
      </c>
      <c r="Y4">
        <f t="shared" si="5"/>
        <v>0</v>
      </c>
    </row>
    <row r="5" spans="1:25" x14ac:dyDescent="0.35">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c r="T5">
        <f t="shared" si="0"/>
        <v>6926.76</v>
      </c>
      <c r="U5">
        <f t="shared" si="1"/>
        <v>1039.0139999999999</v>
      </c>
      <c r="V5">
        <f t="shared" si="2"/>
        <v>5887.7460000000001</v>
      </c>
      <c r="W5">
        <f t="shared" si="3"/>
        <v>4</v>
      </c>
      <c r="X5">
        <f t="shared" si="4"/>
        <v>-1039.0140000000001</v>
      </c>
      <c r="Y5">
        <f t="shared" si="5"/>
        <v>0</v>
      </c>
    </row>
    <row r="6" spans="1:25" x14ac:dyDescent="0.35">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c r="T6">
        <f t="shared" si="0"/>
        <v>4279.68</v>
      </c>
      <c r="U6">
        <f t="shared" si="1"/>
        <v>0</v>
      </c>
      <c r="V6">
        <f t="shared" si="2"/>
        <v>4279.68</v>
      </c>
      <c r="W6">
        <f t="shared" si="3"/>
        <v>3</v>
      </c>
      <c r="X6">
        <f t="shared" si="4"/>
        <v>0</v>
      </c>
      <c r="Y6">
        <f t="shared" si="5"/>
        <v>0</v>
      </c>
    </row>
    <row r="7" spans="1:25" x14ac:dyDescent="0.35">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c r="T7">
        <f t="shared" si="0"/>
        <v>770.18</v>
      </c>
      <c r="U7">
        <f t="shared" si="1"/>
        <v>115.52699999999999</v>
      </c>
      <c r="V7">
        <f t="shared" si="2"/>
        <v>654.65300000000002</v>
      </c>
      <c r="W7">
        <f t="shared" si="3"/>
        <v>10</v>
      </c>
      <c r="X7">
        <f t="shared" si="4"/>
        <v>-115.52699999999993</v>
      </c>
      <c r="Y7">
        <f t="shared" si="5"/>
        <v>0</v>
      </c>
    </row>
    <row r="8" spans="1:25" x14ac:dyDescent="0.35">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c r="T8">
        <f t="shared" si="0"/>
        <v>122.5</v>
      </c>
      <c r="U8">
        <f t="shared" si="1"/>
        <v>12.25</v>
      </c>
      <c r="V8">
        <f t="shared" si="2"/>
        <v>110.25</v>
      </c>
      <c r="W8">
        <f t="shared" si="3"/>
        <v>3</v>
      </c>
      <c r="X8">
        <f t="shared" si="4"/>
        <v>-12.25</v>
      </c>
      <c r="Y8">
        <f t="shared" si="5"/>
        <v>0</v>
      </c>
    </row>
    <row r="9" spans="1:25" x14ac:dyDescent="0.35">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c r="T9">
        <f t="shared" si="0"/>
        <v>990.66000000000008</v>
      </c>
      <c r="U9">
        <f t="shared" si="1"/>
        <v>148.59900000000002</v>
      </c>
      <c r="V9">
        <f t="shared" si="2"/>
        <v>842.06100000000004</v>
      </c>
      <c r="W9">
        <f t="shared" si="3"/>
        <v>2</v>
      </c>
      <c r="X9">
        <f t="shared" si="4"/>
        <v>-148.59900000000005</v>
      </c>
      <c r="Y9">
        <f t="shared" si="5"/>
        <v>0</v>
      </c>
    </row>
    <row r="10" spans="1:25" x14ac:dyDescent="0.35">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c r="T10">
        <f t="shared" si="0"/>
        <v>1296.1200000000001</v>
      </c>
      <c r="U10">
        <f t="shared" si="1"/>
        <v>64.806000000000012</v>
      </c>
      <c r="V10">
        <f t="shared" si="2"/>
        <v>1231.3140000000001</v>
      </c>
      <c r="W10">
        <f t="shared" si="3"/>
        <v>2</v>
      </c>
      <c r="X10">
        <f t="shared" si="4"/>
        <v>-64.80600000000004</v>
      </c>
      <c r="Y10">
        <f t="shared" si="5"/>
        <v>0</v>
      </c>
    </row>
    <row r="11" spans="1:25" x14ac:dyDescent="0.35">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c r="T11">
        <f t="shared" si="0"/>
        <v>1616.3999999999999</v>
      </c>
      <c r="U11">
        <f t="shared" si="1"/>
        <v>161.63999999999999</v>
      </c>
      <c r="V11">
        <f t="shared" si="2"/>
        <v>1454.7599999999998</v>
      </c>
      <c r="W11">
        <f t="shared" si="3"/>
        <v>8</v>
      </c>
      <c r="X11">
        <f t="shared" si="4"/>
        <v>-161.6400000000001</v>
      </c>
      <c r="Y11">
        <f t="shared" si="5"/>
        <v>0</v>
      </c>
    </row>
    <row r="12" spans="1:25" x14ac:dyDescent="0.35">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c r="T12">
        <f t="shared" si="0"/>
        <v>7849.3499999999995</v>
      </c>
      <c r="U12">
        <f t="shared" si="1"/>
        <v>1177.4024999999999</v>
      </c>
      <c r="V12">
        <f t="shared" si="2"/>
        <v>6671.9474999999993</v>
      </c>
      <c r="W12">
        <f t="shared" si="3"/>
        <v>7</v>
      </c>
      <c r="X12">
        <f t="shared" si="4"/>
        <v>-1177.4025000000001</v>
      </c>
      <c r="Y12">
        <f t="shared" si="5"/>
        <v>0</v>
      </c>
    </row>
    <row r="13" spans="1:25" x14ac:dyDescent="0.35">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c r="T13">
        <f t="shared" si="0"/>
        <v>3939.65</v>
      </c>
      <c r="U13">
        <f t="shared" si="1"/>
        <v>393.96500000000003</v>
      </c>
      <c r="V13">
        <f t="shared" si="2"/>
        <v>3545.6849999999999</v>
      </c>
      <c r="W13">
        <f t="shared" si="3"/>
        <v>6</v>
      </c>
      <c r="X13">
        <f t="shared" si="4"/>
        <v>-393.96500000000015</v>
      </c>
      <c r="Y13">
        <f t="shared" si="5"/>
        <v>0</v>
      </c>
    </row>
    <row r="14" spans="1:25" x14ac:dyDescent="0.35">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c r="T14">
        <f t="shared" si="0"/>
        <v>120.53</v>
      </c>
      <c r="U14">
        <f t="shared" si="1"/>
        <v>6.0265000000000004</v>
      </c>
      <c r="V14">
        <f t="shared" si="2"/>
        <v>114.5035</v>
      </c>
      <c r="W14">
        <f t="shared" si="3"/>
        <v>10</v>
      </c>
      <c r="X14">
        <f t="shared" si="4"/>
        <v>-6.0264999999999986</v>
      </c>
      <c r="Y14">
        <f t="shared" si="5"/>
        <v>0</v>
      </c>
    </row>
    <row r="15" spans="1:25" x14ac:dyDescent="0.35">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c r="T15">
        <f t="shared" si="0"/>
        <v>157.83000000000001</v>
      </c>
      <c r="U15">
        <f t="shared" si="1"/>
        <v>23.674500000000002</v>
      </c>
      <c r="V15">
        <f t="shared" si="2"/>
        <v>134.15550000000002</v>
      </c>
      <c r="W15">
        <f t="shared" si="3"/>
        <v>4</v>
      </c>
      <c r="X15">
        <f t="shared" si="4"/>
        <v>-23.674499999999995</v>
      </c>
      <c r="Y15">
        <f t="shared" si="5"/>
        <v>0</v>
      </c>
    </row>
    <row r="16" spans="1:25" x14ac:dyDescent="0.35">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c r="T16">
        <f t="shared" si="0"/>
        <v>3304.5</v>
      </c>
      <c r="U16">
        <f t="shared" si="1"/>
        <v>495.67499999999995</v>
      </c>
      <c r="V16">
        <f t="shared" si="2"/>
        <v>2808.8249999999998</v>
      </c>
      <c r="W16">
        <f t="shared" si="3"/>
        <v>7</v>
      </c>
      <c r="X16">
        <f t="shared" si="4"/>
        <v>-495.67500000000018</v>
      </c>
      <c r="Y16">
        <f t="shared" si="5"/>
        <v>0</v>
      </c>
    </row>
    <row r="17" spans="1:25" x14ac:dyDescent="0.35">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c r="T17">
        <f t="shared" si="0"/>
        <v>2770.32</v>
      </c>
      <c r="U17">
        <f t="shared" si="1"/>
        <v>138.51600000000002</v>
      </c>
      <c r="V17">
        <f t="shared" si="2"/>
        <v>2631.8040000000001</v>
      </c>
      <c r="W17">
        <f t="shared" si="3"/>
        <v>6</v>
      </c>
      <c r="X17">
        <f t="shared" si="4"/>
        <v>-138.51600000000008</v>
      </c>
      <c r="Y17">
        <f t="shared" si="5"/>
        <v>0</v>
      </c>
    </row>
    <row r="18" spans="1:25" x14ac:dyDescent="0.35">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c r="T18">
        <f t="shared" si="0"/>
        <v>4486.09</v>
      </c>
      <c r="U18">
        <f t="shared" si="1"/>
        <v>0</v>
      </c>
      <c r="V18">
        <f t="shared" si="2"/>
        <v>4486.09</v>
      </c>
      <c r="W18">
        <f t="shared" si="3"/>
        <v>6</v>
      </c>
      <c r="X18">
        <f t="shared" si="4"/>
        <v>0</v>
      </c>
      <c r="Y18">
        <f t="shared" si="5"/>
        <v>0</v>
      </c>
    </row>
    <row r="19" spans="1:25" x14ac:dyDescent="0.35">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c r="T19">
        <f t="shared" si="0"/>
        <v>6304.54</v>
      </c>
      <c r="U19">
        <f t="shared" si="1"/>
        <v>315.22700000000003</v>
      </c>
      <c r="V19">
        <f t="shared" si="2"/>
        <v>5989.3130000000001</v>
      </c>
      <c r="W19">
        <f t="shared" si="3"/>
        <v>4</v>
      </c>
      <c r="X19">
        <f t="shared" si="4"/>
        <v>-315.22699999999986</v>
      </c>
      <c r="Y19">
        <f t="shared" si="5"/>
        <v>0</v>
      </c>
    </row>
    <row r="20" spans="1:25" x14ac:dyDescent="0.35">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c r="T20">
        <f t="shared" si="0"/>
        <v>10380.799999999999</v>
      </c>
      <c r="U20">
        <f t="shared" si="1"/>
        <v>1557.12</v>
      </c>
      <c r="V20">
        <f t="shared" si="2"/>
        <v>8823.68</v>
      </c>
      <c r="W20">
        <f t="shared" si="3"/>
        <v>8</v>
      </c>
      <c r="X20">
        <f t="shared" si="4"/>
        <v>-1557.119999999999</v>
      </c>
      <c r="Y20">
        <f t="shared" si="5"/>
        <v>0</v>
      </c>
    </row>
    <row r="21" spans="1:25" x14ac:dyDescent="0.35">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c r="T21">
        <f t="shared" si="0"/>
        <v>431.62</v>
      </c>
      <c r="U21">
        <f t="shared" si="1"/>
        <v>0</v>
      </c>
      <c r="V21">
        <f t="shared" si="2"/>
        <v>431.62</v>
      </c>
      <c r="W21">
        <f t="shared" si="3"/>
        <v>10</v>
      </c>
      <c r="X21">
        <f t="shared" si="4"/>
        <v>0</v>
      </c>
      <c r="Y21">
        <f t="shared" si="5"/>
        <v>0</v>
      </c>
    </row>
    <row r="22" spans="1:25" x14ac:dyDescent="0.35">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c r="T22">
        <f t="shared" si="0"/>
        <v>3190.5</v>
      </c>
      <c r="U22">
        <f t="shared" si="1"/>
        <v>0</v>
      </c>
      <c r="V22">
        <f t="shared" si="2"/>
        <v>3190.5</v>
      </c>
      <c r="W22">
        <f t="shared" si="3"/>
        <v>3</v>
      </c>
      <c r="X22">
        <f t="shared" si="4"/>
        <v>0</v>
      </c>
      <c r="Y22">
        <f t="shared" si="5"/>
        <v>0</v>
      </c>
    </row>
    <row r="23" spans="1:25" x14ac:dyDescent="0.35">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c r="T23">
        <f t="shared" si="0"/>
        <v>4379.0600000000004</v>
      </c>
      <c r="U23">
        <f t="shared" si="1"/>
        <v>218.95300000000003</v>
      </c>
      <c r="V23">
        <f t="shared" si="2"/>
        <v>4160.107</v>
      </c>
      <c r="W23">
        <f t="shared" si="3"/>
        <v>5</v>
      </c>
      <c r="X23">
        <f t="shared" si="4"/>
        <v>-218.95300000000043</v>
      </c>
      <c r="Y23">
        <f t="shared" si="5"/>
        <v>0</v>
      </c>
    </row>
    <row r="24" spans="1:25" x14ac:dyDescent="0.35">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c r="T24">
        <f t="shared" si="0"/>
        <v>5536.3</v>
      </c>
      <c r="U24">
        <f t="shared" si="1"/>
        <v>0</v>
      </c>
      <c r="V24">
        <f t="shared" si="2"/>
        <v>5536.3</v>
      </c>
      <c r="W24">
        <f t="shared" si="3"/>
        <v>4</v>
      </c>
      <c r="X24">
        <f t="shared" si="4"/>
        <v>0</v>
      </c>
      <c r="Y24">
        <f t="shared" si="5"/>
        <v>0</v>
      </c>
    </row>
    <row r="25" spans="1:25" x14ac:dyDescent="0.35">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c r="T25">
        <f t="shared" si="0"/>
        <v>5672.64</v>
      </c>
      <c r="U25">
        <f t="shared" si="1"/>
        <v>850.89600000000007</v>
      </c>
      <c r="V25">
        <f t="shared" si="2"/>
        <v>4821.7440000000006</v>
      </c>
      <c r="W25">
        <f t="shared" si="3"/>
        <v>8</v>
      </c>
      <c r="X25">
        <f t="shared" si="4"/>
        <v>-850.89599999999973</v>
      </c>
      <c r="Y25">
        <f t="shared" si="5"/>
        <v>0</v>
      </c>
    </row>
    <row r="26" spans="1:25" x14ac:dyDescent="0.35">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c r="T26">
        <f t="shared" si="0"/>
        <v>1440.05</v>
      </c>
      <c r="U26">
        <f t="shared" si="1"/>
        <v>0</v>
      </c>
      <c r="V26">
        <f t="shared" si="2"/>
        <v>1440.05</v>
      </c>
      <c r="W26">
        <f t="shared" si="3"/>
        <v>7</v>
      </c>
      <c r="X26">
        <f t="shared" si="4"/>
        <v>0</v>
      </c>
      <c r="Y26">
        <f t="shared" si="5"/>
        <v>0</v>
      </c>
    </row>
    <row r="27" spans="1:25" x14ac:dyDescent="0.35">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c r="T27">
        <f t="shared" si="0"/>
        <v>7309.7699999999995</v>
      </c>
      <c r="U27">
        <f t="shared" si="1"/>
        <v>0</v>
      </c>
      <c r="V27">
        <f t="shared" si="2"/>
        <v>7309.7699999999995</v>
      </c>
      <c r="W27">
        <f t="shared" si="3"/>
        <v>5</v>
      </c>
      <c r="X27">
        <f t="shared" si="4"/>
        <v>0</v>
      </c>
      <c r="Y27">
        <f t="shared" si="5"/>
        <v>0</v>
      </c>
    </row>
    <row r="28" spans="1:25" x14ac:dyDescent="0.35">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c r="T28">
        <f t="shared" si="0"/>
        <v>101.73</v>
      </c>
      <c r="U28">
        <f t="shared" si="1"/>
        <v>0</v>
      </c>
      <c r="V28">
        <f t="shared" si="2"/>
        <v>101.73</v>
      </c>
      <c r="W28">
        <f t="shared" si="3"/>
        <v>9</v>
      </c>
      <c r="X28">
        <f t="shared" si="4"/>
        <v>0</v>
      </c>
      <c r="Y28">
        <f t="shared" si="5"/>
        <v>0</v>
      </c>
    </row>
    <row r="29" spans="1:25" x14ac:dyDescent="0.35">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c r="T29">
        <f t="shared" si="0"/>
        <v>1117.96</v>
      </c>
      <c r="U29">
        <f t="shared" si="1"/>
        <v>0</v>
      </c>
      <c r="V29">
        <f t="shared" si="2"/>
        <v>1117.96</v>
      </c>
      <c r="W29">
        <f t="shared" si="3"/>
        <v>5</v>
      </c>
      <c r="X29">
        <f t="shared" si="4"/>
        <v>0</v>
      </c>
      <c r="Y29">
        <f t="shared" si="5"/>
        <v>0</v>
      </c>
    </row>
    <row r="30" spans="1:25" x14ac:dyDescent="0.35">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c r="T30">
        <f t="shared" si="0"/>
        <v>178.55</v>
      </c>
      <c r="U30">
        <f t="shared" si="1"/>
        <v>26.782500000000002</v>
      </c>
      <c r="V30">
        <f t="shared" si="2"/>
        <v>151.76750000000001</v>
      </c>
      <c r="W30">
        <f t="shared" si="3"/>
        <v>3</v>
      </c>
      <c r="X30">
        <f t="shared" si="4"/>
        <v>-26.782499999999999</v>
      </c>
      <c r="Y30">
        <f t="shared" si="5"/>
        <v>0</v>
      </c>
    </row>
    <row r="31" spans="1:25" x14ac:dyDescent="0.35">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c r="T31">
        <f t="shared" si="0"/>
        <v>472.07</v>
      </c>
      <c r="U31">
        <f t="shared" si="1"/>
        <v>47.207000000000001</v>
      </c>
      <c r="V31">
        <f t="shared" si="2"/>
        <v>424.863</v>
      </c>
      <c r="W31">
        <f t="shared" si="3"/>
        <v>8</v>
      </c>
      <c r="X31">
        <f t="shared" si="4"/>
        <v>-47.206999999999994</v>
      </c>
      <c r="Y31">
        <f t="shared" si="5"/>
        <v>0</v>
      </c>
    </row>
    <row r="32" spans="1:25" x14ac:dyDescent="0.35">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c r="T32">
        <f t="shared" si="0"/>
        <v>3675.4800000000005</v>
      </c>
      <c r="U32">
        <f t="shared" si="1"/>
        <v>0</v>
      </c>
      <c r="V32">
        <f t="shared" si="2"/>
        <v>3675.4800000000005</v>
      </c>
      <c r="W32">
        <f t="shared" si="3"/>
        <v>7</v>
      </c>
      <c r="X32">
        <f t="shared" si="4"/>
        <v>0</v>
      </c>
      <c r="Y32">
        <f t="shared" si="5"/>
        <v>0</v>
      </c>
    </row>
    <row r="33" spans="1:25" x14ac:dyDescent="0.35">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c r="T33">
        <f t="shared" si="0"/>
        <v>3043.39</v>
      </c>
      <c r="U33">
        <f t="shared" si="1"/>
        <v>456.50849999999997</v>
      </c>
      <c r="V33">
        <f t="shared" si="2"/>
        <v>2586.8815</v>
      </c>
      <c r="W33">
        <f t="shared" si="3"/>
        <v>2</v>
      </c>
      <c r="X33">
        <f t="shared" si="4"/>
        <v>-456.50849999999991</v>
      </c>
      <c r="Y33">
        <f t="shared" si="5"/>
        <v>0</v>
      </c>
    </row>
    <row r="34" spans="1:25" x14ac:dyDescent="0.35">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c r="T34">
        <f t="shared" si="0"/>
        <v>389.88</v>
      </c>
      <c r="U34">
        <f t="shared" si="1"/>
        <v>0</v>
      </c>
      <c r="V34">
        <f t="shared" si="2"/>
        <v>389.88</v>
      </c>
      <c r="W34">
        <f t="shared" si="3"/>
        <v>6</v>
      </c>
      <c r="X34">
        <f t="shared" si="4"/>
        <v>0</v>
      </c>
      <c r="Y34">
        <f t="shared" si="5"/>
        <v>0</v>
      </c>
    </row>
    <row r="35" spans="1:25" x14ac:dyDescent="0.35">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c r="T35">
        <f t="shared" si="0"/>
        <v>8100.33</v>
      </c>
      <c r="U35">
        <f t="shared" si="1"/>
        <v>0</v>
      </c>
      <c r="V35">
        <f t="shared" si="2"/>
        <v>8100.33</v>
      </c>
      <c r="W35">
        <f t="shared" si="3"/>
        <v>6</v>
      </c>
      <c r="X35">
        <f t="shared" si="4"/>
        <v>0</v>
      </c>
      <c r="Y35">
        <f t="shared" si="5"/>
        <v>0</v>
      </c>
    </row>
    <row r="36" spans="1:25" x14ac:dyDescent="0.35">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c r="T36">
        <f t="shared" si="0"/>
        <v>2238.88</v>
      </c>
      <c r="U36">
        <f t="shared" si="1"/>
        <v>335.83199999999999</v>
      </c>
      <c r="V36">
        <f t="shared" si="2"/>
        <v>1903.0480000000002</v>
      </c>
      <c r="W36">
        <f t="shared" si="3"/>
        <v>4</v>
      </c>
      <c r="X36">
        <f t="shared" si="4"/>
        <v>-335.83199999999988</v>
      </c>
      <c r="Y36">
        <f t="shared" si="5"/>
        <v>0</v>
      </c>
    </row>
    <row r="37" spans="1:25" x14ac:dyDescent="0.35">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c r="T37">
        <f t="shared" si="0"/>
        <v>1149.96</v>
      </c>
      <c r="U37">
        <f t="shared" si="1"/>
        <v>0</v>
      </c>
      <c r="V37">
        <f t="shared" si="2"/>
        <v>1149.96</v>
      </c>
      <c r="W37">
        <f t="shared" si="3"/>
        <v>8</v>
      </c>
      <c r="X37">
        <f t="shared" si="4"/>
        <v>0</v>
      </c>
      <c r="Y37">
        <f t="shared" si="5"/>
        <v>0</v>
      </c>
    </row>
    <row r="38" spans="1:25" x14ac:dyDescent="0.35">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c r="T38">
        <f t="shared" si="0"/>
        <v>3088.89</v>
      </c>
      <c r="U38">
        <f t="shared" si="1"/>
        <v>154.44450000000001</v>
      </c>
      <c r="V38">
        <f t="shared" si="2"/>
        <v>2934.4454999999998</v>
      </c>
      <c r="W38">
        <f t="shared" si="3"/>
        <v>7</v>
      </c>
      <c r="X38">
        <f t="shared" si="4"/>
        <v>-154.44450000000006</v>
      </c>
      <c r="Y38">
        <f t="shared" si="5"/>
        <v>0</v>
      </c>
    </row>
    <row r="39" spans="1:25" x14ac:dyDescent="0.35">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c r="T39">
        <f t="shared" si="0"/>
        <v>2107.0699999999997</v>
      </c>
      <c r="U39">
        <f t="shared" si="1"/>
        <v>316.06049999999993</v>
      </c>
      <c r="V39">
        <f t="shared" si="2"/>
        <v>1791.0094999999997</v>
      </c>
      <c r="W39">
        <f t="shared" si="3"/>
        <v>10</v>
      </c>
      <c r="X39">
        <f t="shared" si="4"/>
        <v>-316.06050000000005</v>
      </c>
      <c r="Y39">
        <f t="shared" si="5"/>
        <v>0</v>
      </c>
    </row>
    <row r="40" spans="1:25" x14ac:dyDescent="0.35">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c r="T40">
        <f t="shared" si="0"/>
        <v>5993.82</v>
      </c>
      <c r="U40">
        <f t="shared" si="1"/>
        <v>599.38199999999995</v>
      </c>
      <c r="V40">
        <f t="shared" si="2"/>
        <v>5394.4380000000001</v>
      </c>
      <c r="W40">
        <f t="shared" si="3"/>
        <v>10</v>
      </c>
      <c r="X40">
        <f t="shared" si="4"/>
        <v>-599.38199999999961</v>
      </c>
      <c r="Y40">
        <f t="shared" si="5"/>
        <v>0</v>
      </c>
    </row>
    <row r="41" spans="1:25" x14ac:dyDescent="0.35">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c r="T41">
        <f t="shared" si="0"/>
        <v>1006.56</v>
      </c>
      <c r="U41">
        <f t="shared" si="1"/>
        <v>150.98399999999998</v>
      </c>
      <c r="V41">
        <f t="shared" si="2"/>
        <v>855.57600000000002</v>
      </c>
      <c r="W41">
        <f t="shared" si="3"/>
        <v>8</v>
      </c>
      <c r="X41">
        <f t="shared" si="4"/>
        <v>-150.98399999999992</v>
      </c>
      <c r="Y41">
        <f t="shared" si="5"/>
        <v>0</v>
      </c>
    </row>
    <row r="42" spans="1:25" x14ac:dyDescent="0.35">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c r="T42">
        <f t="shared" si="0"/>
        <v>2351.6</v>
      </c>
      <c r="U42">
        <f t="shared" si="1"/>
        <v>235.16</v>
      </c>
      <c r="V42">
        <f t="shared" si="2"/>
        <v>2116.44</v>
      </c>
      <c r="W42">
        <f t="shared" si="3"/>
        <v>4</v>
      </c>
      <c r="X42">
        <f t="shared" si="4"/>
        <v>-235.15999999999985</v>
      </c>
      <c r="Y42">
        <f t="shared" si="5"/>
        <v>0</v>
      </c>
    </row>
    <row r="43" spans="1:25" x14ac:dyDescent="0.35">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c r="T43">
        <f t="shared" si="0"/>
        <v>1303.4000000000001</v>
      </c>
      <c r="U43">
        <f t="shared" si="1"/>
        <v>65.17</v>
      </c>
      <c r="V43">
        <f t="shared" si="2"/>
        <v>1238.23</v>
      </c>
      <c r="W43">
        <f t="shared" si="3"/>
        <v>9</v>
      </c>
      <c r="X43">
        <f t="shared" si="4"/>
        <v>-65.170000000000073</v>
      </c>
      <c r="Y43">
        <f t="shared" si="5"/>
        <v>0</v>
      </c>
    </row>
    <row r="44" spans="1:25" x14ac:dyDescent="0.35">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c r="T44">
        <f t="shared" si="0"/>
        <v>434.04</v>
      </c>
      <c r="U44">
        <f t="shared" si="1"/>
        <v>0</v>
      </c>
      <c r="V44">
        <f t="shared" si="2"/>
        <v>434.04</v>
      </c>
      <c r="W44">
        <f t="shared" si="3"/>
        <v>3</v>
      </c>
      <c r="X44">
        <f t="shared" si="4"/>
        <v>0</v>
      </c>
      <c r="Y44">
        <f t="shared" si="5"/>
        <v>0</v>
      </c>
    </row>
    <row r="45" spans="1:25" x14ac:dyDescent="0.35">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c r="T45">
        <f t="shared" si="0"/>
        <v>1837.24</v>
      </c>
      <c r="U45">
        <f t="shared" si="1"/>
        <v>275.58600000000001</v>
      </c>
      <c r="V45">
        <f t="shared" si="2"/>
        <v>1561.654</v>
      </c>
      <c r="W45">
        <f t="shared" si="3"/>
        <v>7</v>
      </c>
      <c r="X45">
        <f t="shared" si="4"/>
        <v>-275.58600000000001</v>
      </c>
      <c r="Y45">
        <f t="shared" si="5"/>
        <v>0</v>
      </c>
    </row>
    <row r="46" spans="1:25" x14ac:dyDescent="0.35">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c r="T46">
        <f t="shared" si="0"/>
        <v>832.12</v>
      </c>
      <c r="U46">
        <f t="shared" si="1"/>
        <v>41.606000000000002</v>
      </c>
      <c r="V46">
        <f t="shared" si="2"/>
        <v>790.51400000000001</v>
      </c>
      <c r="W46">
        <f t="shared" si="3"/>
        <v>4</v>
      </c>
      <c r="X46">
        <f t="shared" si="4"/>
        <v>-41.605999999999995</v>
      </c>
      <c r="Y46">
        <f t="shared" si="5"/>
        <v>0</v>
      </c>
    </row>
    <row r="47" spans="1:25" x14ac:dyDescent="0.35">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c r="T47">
        <f t="shared" si="0"/>
        <v>4841.28</v>
      </c>
      <c r="U47">
        <f t="shared" si="1"/>
        <v>0</v>
      </c>
      <c r="V47">
        <f t="shared" si="2"/>
        <v>4841.28</v>
      </c>
      <c r="W47">
        <f t="shared" si="3"/>
        <v>10</v>
      </c>
      <c r="X47">
        <f t="shared" si="4"/>
        <v>0</v>
      </c>
      <c r="Y47">
        <f t="shared" si="5"/>
        <v>0</v>
      </c>
    </row>
    <row r="48" spans="1:25" x14ac:dyDescent="0.35">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c r="T48">
        <f t="shared" si="0"/>
        <v>364.43</v>
      </c>
      <c r="U48">
        <f t="shared" si="1"/>
        <v>54.664499999999997</v>
      </c>
      <c r="V48">
        <f t="shared" si="2"/>
        <v>309.76550000000003</v>
      </c>
      <c r="W48">
        <f t="shared" si="3"/>
        <v>2</v>
      </c>
      <c r="X48">
        <f t="shared" si="4"/>
        <v>-54.664499999999975</v>
      </c>
      <c r="Y48">
        <f t="shared" si="5"/>
        <v>0</v>
      </c>
    </row>
    <row r="49" spans="1:25" x14ac:dyDescent="0.35">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c r="T49">
        <f t="shared" si="0"/>
        <v>4660.16</v>
      </c>
      <c r="U49">
        <f t="shared" si="1"/>
        <v>699.024</v>
      </c>
      <c r="V49">
        <f t="shared" si="2"/>
        <v>3961.136</v>
      </c>
      <c r="W49">
        <f t="shared" si="3"/>
        <v>4</v>
      </c>
      <c r="X49">
        <f t="shared" si="4"/>
        <v>-699.02399999999989</v>
      </c>
      <c r="Y49">
        <f t="shared" si="5"/>
        <v>0</v>
      </c>
    </row>
    <row r="50" spans="1:25" x14ac:dyDescent="0.35">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c r="T50">
        <f t="shared" si="0"/>
        <v>825.75</v>
      </c>
      <c r="U50">
        <f t="shared" si="1"/>
        <v>82.575000000000003</v>
      </c>
      <c r="V50">
        <f t="shared" si="2"/>
        <v>743.17499999999995</v>
      </c>
      <c r="W50">
        <f t="shared" si="3"/>
        <v>2</v>
      </c>
      <c r="X50">
        <f t="shared" si="4"/>
        <v>-82.575000000000045</v>
      </c>
      <c r="Y50">
        <f t="shared" si="5"/>
        <v>0</v>
      </c>
    </row>
    <row r="51" spans="1:25" x14ac:dyDescent="0.35">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c r="T51">
        <f t="shared" si="0"/>
        <v>3399.48</v>
      </c>
      <c r="U51">
        <f t="shared" si="1"/>
        <v>509.92199999999997</v>
      </c>
      <c r="V51">
        <f t="shared" si="2"/>
        <v>2889.558</v>
      </c>
      <c r="W51">
        <f t="shared" si="3"/>
        <v>7</v>
      </c>
      <c r="X51">
        <f t="shared" si="4"/>
        <v>-509.92200000000003</v>
      </c>
      <c r="Y51">
        <f t="shared" si="5"/>
        <v>0</v>
      </c>
    </row>
    <row r="52" spans="1:25" x14ac:dyDescent="0.35">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c r="T52">
        <f t="shared" si="0"/>
        <v>857.86999999999989</v>
      </c>
      <c r="U52">
        <f t="shared" si="1"/>
        <v>85.786999999999992</v>
      </c>
      <c r="V52">
        <f t="shared" si="2"/>
        <v>772.08299999999986</v>
      </c>
      <c r="W52">
        <f t="shared" si="3"/>
        <v>3</v>
      </c>
      <c r="X52">
        <f t="shared" si="4"/>
        <v>-85.787000000000035</v>
      </c>
      <c r="Y52">
        <f t="shared" si="5"/>
        <v>0</v>
      </c>
    </row>
    <row r="53" spans="1:25" x14ac:dyDescent="0.35">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c r="T53">
        <f t="shared" si="0"/>
        <v>503.38</v>
      </c>
      <c r="U53">
        <f t="shared" si="1"/>
        <v>0</v>
      </c>
      <c r="V53">
        <f t="shared" si="2"/>
        <v>503.38</v>
      </c>
      <c r="W53">
        <f t="shared" si="3"/>
        <v>7</v>
      </c>
      <c r="X53">
        <f t="shared" si="4"/>
        <v>0</v>
      </c>
      <c r="Y53">
        <f t="shared" si="5"/>
        <v>0</v>
      </c>
    </row>
    <row r="54" spans="1:25" x14ac:dyDescent="0.35">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c r="T54">
        <f t="shared" si="0"/>
        <v>269.41000000000003</v>
      </c>
      <c r="U54">
        <f t="shared" si="1"/>
        <v>26.941000000000003</v>
      </c>
      <c r="V54">
        <f t="shared" si="2"/>
        <v>242.46900000000002</v>
      </c>
      <c r="W54">
        <f t="shared" si="3"/>
        <v>6</v>
      </c>
      <c r="X54">
        <f t="shared" si="4"/>
        <v>-26.941000000000003</v>
      </c>
      <c r="Y54">
        <f t="shared" si="5"/>
        <v>0</v>
      </c>
    </row>
    <row r="55" spans="1:25" x14ac:dyDescent="0.35">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c r="T55">
        <f t="shared" si="0"/>
        <v>742.6</v>
      </c>
      <c r="U55">
        <f t="shared" si="1"/>
        <v>37.130000000000003</v>
      </c>
      <c r="V55">
        <f t="shared" si="2"/>
        <v>705.47</v>
      </c>
      <c r="W55">
        <f t="shared" si="3"/>
        <v>10</v>
      </c>
      <c r="X55">
        <f t="shared" si="4"/>
        <v>-37.129999999999995</v>
      </c>
      <c r="Y55">
        <f t="shared" si="5"/>
        <v>0</v>
      </c>
    </row>
    <row r="56" spans="1:25" x14ac:dyDescent="0.35">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c r="T56">
        <f t="shared" si="0"/>
        <v>3170.6400000000003</v>
      </c>
      <c r="U56">
        <f t="shared" si="1"/>
        <v>475.596</v>
      </c>
      <c r="V56">
        <f t="shared" si="2"/>
        <v>2695.0440000000003</v>
      </c>
      <c r="W56">
        <f t="shared" si="3"/>
        <v>6</v>
      </c>
      <c r="X56">
        <f t="shared" si="4"/>
        <v>-475.596</v>
      </c>
      <c r="Y56">
        <f t="shared" si="5"/>
        <v>0</v>
      </c>
    </row>
    <row r="57" spans="1:25" x14ac:dyDescent="0.35">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c r="T57">
        <f t="shared" si="0"/>
        <v>2560.25</v>
      </c>
      <c r="U57">
        <f t="shared" si="1"/>
        <v>128.01250000000002</v>
      </c>
      <c r="V57">
        <f t="shared" si="2"/>
        <v>2432.2375000000002</v>
      </c>
      <c r="W57">
        <f t="shared" si="3"/>
        <v>10</v>
      </c>
      <c r="X57">
        <f t="shared" si="4"/>
        <v>-128.01249999999982</v>
      </c>
      <c r="Y57">
        <f t="shared" si="5"/>
        <v>0</v>
      </c>
    </row>
    <row r="58" spans="1:25" x14ac:dyDescent="0.35">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c r="T58">
        <f t="shared" si="0"/>
        <v>2486.7600000000002</v>
      </c>
      <c r="U58">
        <f t="shared" si="1"/>
        <v>373.01400000000001</v>
      </c>
      <c r="V58">
        <f t="shared" si="2"/>
        <v>2113.7460000000001</v>
      </c>
      <c r="W58">
        <f t="shared" si="3"/>
        <v>9</v>
      </c>
      <c r="X58">
        <f t="shared" si="4"/>
        <v>-373.01400000000012</v>
      </c>
      <c r="Y58">
        <f t="shared" si="5"/>
        <v>0</v>
      </c>
    </row>
    <row r="59" spans="1:25" x14ac:dyDescent="0.35">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c r="T59">
        <f t="shared" si="0"/>
        <v>501.9</v>
      </c>
      <c r="U59">
        <f t="shared" si="1"/>
        <v>50.19</v>
      </c>
      <c r="V59">
        <f t="shared" si="2"/>
        <v>451.71</v>
      </c>
      <c r="W59">
        <f t="shared" si="3"/>
        <v>2</v>
      </c>
      <c r="X59">
        <f t="shared" si="4"/>
        <v>-50.19</v>
      </c>
      <c r="Y59">
        <f t="shared" si="5"/>
        <v>0</v>
      </c>
    </row>
    <row r="60" spans="1:25" x14ac:dyDescent="0.35">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c r="T60">
        <f t="shared" si="0"/>
        <v>4130.2800000000007</v>
      </c>
      <c r="U60">
        <f t="shared" si="1"/>
        <v>206.51400000000004</v>
      </c>
      <c r="V60">
        <f t="shared" si="2"/>
        <v>3923.7660000000005</v>
      </c>
      <c r="W60">
        <f t="shared" si="3"/>
        <v>7</v>
      </c>
      <c r="X60">
        <f t="shared" si="4"/>
        <v>-206.51400000000012</v>
      </c>
      <c r="Y60">
        <f t="shared" si="5"/>
        <v>0</v>
      </c>
    </row>
    <row r="61" spans="1:25" x14ac:dyDescent="0.35">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c r="T61">
        <f t="shared" si="0"/>
        <v>5704.0199999999995</v>
      </c>
      <c r="U61">
        <f t="shared" si="1"/>
        <v>285.20099999999996</v>
      </c>
      <c r="V61">
        <f t="shared" si="2"/>
        <v>5418.8189999999995</v>
      </c>
      <c r="W61">
        <f t="shared" si="3"/>
        <v>6</v>
      </c>
      <c r="X61">
        <f t="shared" si="4"/>
        <v>-285.20100000000002</v>
      </c>
      <c r="Y61">
        <f t="shared" si="5"/>
        <v>0</v>
      </c>
    </row>
    <row r="62" spans="1:25" x14ac:dyDescent="0.35">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c r="T62">
        <f t="shared" si="0"/>
        <v>5901.2</v>
      </c>
      <c r="U62">
        <f t="shared" si="1"/>
        <v>885.18</v>
      </c>
      <c r="V62">
        <f t="shared" si="2"/>
        <v>5016.0199999999995</v>
      </c>
      <c r="W62">
        <f t="shared" si="3"/>
        <v>6</v>
      </c>
      <c r="X62">
        <f t="shared" si="4"/>
        <v>-885.18000000000029</v>
      </c>
      <c r="Y62">
        <f t="shared" si="5"/>
        <v>0</v>
      </c>
    </row>
    <row r="63" spans="1:25" x14ac:dyDescent="0.35">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c r="T63">
        <f t="shared" si="0"/>
        <v>2413.44</v>
      </c>
      <c r="U63">
        <f t="shared" si="1"/>
        <v>0</v>
      </c>
      <c r="V63">
        <f t="shared" si="2"/>
        <v>2413.44</v>
      </c>
      <c r="W63">
        <f t="shared" si="3"/>
        <v>9</v>
      </c>
      <c r="X63">
        <f t="shared" si="4"/>
        <v>0</v>
      </c>
      <c r="Y63">
        <f t="shared" si="5"/>
        <v>0</v>
      </c>
    </row>
    <row r="64" spans="1:25" x14ac:dyDescent="0.35">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c r="T64">
        <f t="shared" si="0"/>
        <v>1426.17</v>
      </c>
      <c r="U64">
        <f t="shared" si="1"/>
        <v>142.61700000000002</v>
      </c>
      <c r="V64">
        <f t="shared" si="2"/>
        <v>1283.5530000000001</v>
      </c>
      <c r="W64">
        <f t="shared" si="3"/>
        <v>4</v>
      </c>
      <c r="X64">
        <f t="shared" si="4"/>
        <v>-142.61699999999996</v>
      </c>
      <c r="Y64">
        <f t="shared" si="5"/>
        <v>0</v>
      </c>
    </row>
    <row r="65" spans="1:25" x14ac:dyDescent="0.35">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c r="T65">
        <f t="shared" si="0"/>
        <v>756</v>
      </c>
      <c r="U65">
        <f t="shared" si="1"/>
        <v>113.39999999999999</v>
      </c>
      <c r="V65">
        <f t="shared" si="2"/>
        <v>642.6</v>
      </c>
      <c r="W65">
        <f t="shared" si="3"/>
        <v>3</v>
      </c>
      <c r="X65">
        <f t="shared" si="4"/>
        <v>-113.39999999999998</v>
      </c>
      <c r="Y65">
        <f t="shared" si="5"/>
        <v>0</v>
      </c>
    </row>
    <row r="66" spans="1:25" x14ac:dyDescent="0.35">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c r="T66">
        <f t="shared" si="0"/>
        <v>7667.55</v>
      </c>
      <c r="U66">
        <f t="shared" si="1"/>
        <v>0</v>
      </c>
      <c r="V66">
        <f t="shared" si="2"/>
        <v>7667.55</v>
      </c>
      <c r="W66">
        <f t="shared" si="3"/>
        <v>3</v>
      </c>
      <c r="X66">
        <f t="shared" si="4"/>
        <v>0</v>
      </c>
      <c r="Y66">
        <f t="shared" si="5"/>
        <v>0</v>
      </c>
    </row>
    <row r="67" spans="1:25" x14ac:dyDescent="0.35">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c r="T67">
        <f t="shared" ref="T67:T130" si="6">D67*E67</f>
        <v>199.74</v>
      </c>
      <c r="U67">
        <f t="shared" ref="U67:U130" si="7">T67*H67</f>
        <v>19.974000000000004</v>
      </c>
      <c r="V67">
        <f t="shared" ref="V67:V130" si="8">T67-U67</f>
        <v>179.76600000000002</v>
      </c>
      <c r="W67">
        <f t="shared" ref="W67:W130" si="9">R67-Q67</f>
        <v>4</v>
      </c>
      <c r="X67">
        <f t="shared" ref="X67:X130" si="10">V67-(E67*D67)</f>
        <v>-19.97399999999999</v>
      </c>
      <c r="Y67">
        <f t="shared" ref="Y67:Y130" si="11">IF(M67 = "Yes", -V67,0)</f>
        <v>0</v>
      </c>
    </row>
    <row r="68" spans="1:25" x14ac:dyDescent="0.35">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c r="T68">
        <f t="shared" si="6"/>
        <v>2452.6</v>
      </c>
      <c r="U68">
        <f t="shared" si="7"/>
        <v>122.63</v>
      </c>
      <c r="V68">
        <f t="shared" si="8"/>
        <v>2329.9699999999998</v>
      </c>
      <c r="W68">
        <f t="shared" si="9"/>
        <v>7</v>
      </c>
      <c r="X68">
        <f t="shared" si="10"/>
        <v>-122.63000000000011</v>
      </c>
      <c r="Y68">
        <f t="shared" si="11"/>
        <v>0</v>
      </c>
    </row>
    <row r="69" spans="1:25" x14ac:dyDescent="0.35">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c r="T69">
        <f t="shared" si="6"/>
        <v>3247.68</v>
      </c>
      <c r="U69">
        <f t="shared" si="7"/>
        <v>162.38400000000001</v>
      </c>
      <c r="V69">
        <f t="shared" si="8"/>
        <v>3085.2959999999998</v>
      </c>
      <c r="W69">
        <f t="shared" si="9"/>
        <v>7</v>
      </c>
      <c r="X69">
        <f t="shared" si="10"/>
        <v>-162.38400000000001</v>
      </c>
      <c r="Y69">
        <f t="shared" si="11"/>
        <v>0</v>
      </c>
    </row>
    <row r="70" spans="1:25" x14ac:dyDescent="0.35">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c r="T70">
        <f t="shared" si="6"/>
        <v>159.41</v>
      </c>
      <c r="U70">
        <f t="shared" si="7"/>
        <v>15.941000000000001</v>
      </c>
      <c r="V70">
        <f t="shared" si="8"/>
        <v>143.46899999999999</v>
      </c>
      <c r="W70">
        <f t="shared" si="9"/>
        <v>4</v>
      </c>
      <c r="X70">
        <f t="shared" si="10"/>
        <v>-15.941000000000003</v>
      </c>
      <c r="Y70">
        <f t="shared" si="11"/>
        <v>0</v>
      </c>
    </row>
    <row r="71" spans="1:25" x14ac:dyDescent="0.35">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c r="T71">
        <f t="shared" si="6"/>
        <v>615.84</v>
      </c>
      <c r="U71">
        <f t="shared" si="7"/>
        <v>92.376000000000005</v>
      </c>
      <c r="V71">
        <f t="shared" si="8"/>
        <v>523.46400000000006</v>
      </c>
      <c r="W71">
        <f t="shared" si="9"/>
        <v>9</v>
      </c>
      <c r="X71">
        <f t="shared" si="10"/>
        <v>-92.375999999999976</v>
      </c>
      <c r="Y71">
        <f t="shared" si="11"/>
        <v>0</v>
      </c>
    </row>
    <row r="72" spans="1:25" x14ac:dyDescent="0.35">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c r="T72">
        <f t="shared" si="6"/>
        <v>4925.4000000000005</v>
      </c>
      <c r="U72">
        <f t="shared" si="7"/>
        <v>738.81000000000006</v>
      </c>
      <c r="V72">
        <f t="shared" si="8"/>
        <v>4186.59</v>
      </c>
      <c r="W72">
        <f t="shared" si="9"/>
        <v>9</v>
      </c>
      <c r="X72">
        <f t="shared" si="10"/>
        <v>-738.8100000000004</v>
      </c>
      <c r="Y72">
        <f t="shared" si="11"/>
        <v>0</v>
      </c>
    </row>
    <row r="73" spans="1:25" x14ac:dyDescent="0.35">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c r="T73">
        <f t="shared" si="6"/>
        <v>10960.2</v>
      </c>
      <c r="U73">
        <f t="shared" si="7"/>
        <v>1096.0200000000002</v>
      </c>
      <c r="V73">
        <f t="shared" si="8"/>
        <v>9864.18</v>
      </c>
      <c r="W73">
        <f t="shared" si="9"/>
        <v>3</v>
      </c>
      <c r="X73">
        <f t="shared" si="10"/>
        <v>-1096.0200000000004</v>
      </c>
      <c r="Y73">
        <f t="shared" si="11"/>
        <v>0</v>
      </c>
    </row>
    <row r="74" spans="1:25" x14ac:dyDescent="0.35">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c r="T74">
        <f t="shared" si="6"/>
        <v>6297.8499999999995</v>
      </c>
      <c r="U74">
        <f t="shared" si="7"/>
        <v>314.89249999999998</v>
      </c>
      <c r="V74">
        <f t="shared" si="8"/>
        <v>5982.9574999999995</v>
      </c>
      <c r="W74">
        <f t="shared" si="9"/>
        <v>10</v>
      </c>
      <c r="X74">
        <f t="shared" si="10"/>
        <v>-314.89249999999993</v>
      </c>
      <c r="Y74">
        <f t="shared" si="11"/>
        <v>0</v>
      </c>
    </row>
    <row r="75" spans="1:25" x14ac:dyDescent="0.35">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c r="T75">
        <f t="shared" si="6"/>
        <v>2545.92</v>
      </c>
      <c r="U75">
        <f t="shared" si="7"/>
        <v>127.29600000000001</v>
      </c>
      <c r="V75">
        <f t="shared" si="8"/>
        <v>2418.6240000000003</v>
      </c>
      <c r="W75">
        <f t="shared" si="9"/>
        <v>7</v>
      </c>
      <c r="X75">
        <f t="shared" si="10"/>
        <v>-127.29599999999982</v>
      </c>
      <c r="Y75">
        <f t="shared" si="11"/>
        <v>0</v>
      </c>
    </row>
    <row r="76" spans="1:25" x14ac:dyDescent="0.35">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c r="T76">
        <f t="shared" si="6"/>
        <v>568.86</v>
      </c>
      <c r="U76">
        <f t="shared" si="7"/>
        <v>85.328999999999994</v>
      </c>
      <c r="V76">
        <f t="shared" si="8"/>
        <v>483.53100000000001</v>
      </c>
      <c r="W76">
        <f t="shared" si="9"/>
        <v>6</v>
      </c>
      <c r="X76">
        <f t="shared" si="10"/>
        <v>-85.329000000000008</v>
      </c>
      <c r="Y76">
        <f t="shared" si="11"/>
        <v>0</v>
      </c>
    </row>
    <row r="77" spans="1:25" x14ac:dyDescent="0.35">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c r="T77">
        <f t="shared" si="6"/>
        <v>5539.0999999999995</v>
      </c>
      <c r="U77">
        <f t="shared" si="7"/>
        <v>553.91</v>
      </c>
      <c r="V77">
        <f t="shared" si="8"/>
        <v>4985.1899999999996</v>
      </c>
      <c r="W77">
        <f t="shared" si="9"/>
        <v>4</v>
      </c>
      <c r="X77">
        <f t="shared" si="10"/>
        <v>-553.90999999999985</v>
      </c>
      <c r="Y77">
        <f t="shared" si="11"/>
        <v>0</v>
      </c>
    </row>
    <row r="78" spans="1:25" x14ac:dyDescent="0.35">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c r="T78">
        <f t="shared" si="6"/>
        <v>6237.28</v>
      </c>
      <c r="U78">
        <f t="shared" si="7"/>
        <v>623.72800000000007</v>
      </c>
      <c r="V78">
        <f t="shared" si="8"/>
        <v>5613.5519999999997</v>
      </c>
      <c r="W78">
        <f t="shared" si="9"/>
        <v>2</v>
      </c>
      <c r="X78">
        <f t="shared" si="10"/>
        <v>-623.72800000000007</v>
      </c>
      <c r="Y78">
        <f t="shared" si="11"/>
        <v>0</v>
      </c>
    </row>
    <row r="79" spans="1:25" x14ac:dyDescent="0.35">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c r="T79">
        <f t="shared" si="6"/>
        <v>2757.9</v>
      </c>
      <c r="U79">
        <f t="shared" si="7"/>
        <v>413.685</v>
      </c>
      <c r="V79">
        <f t="shared" si="8"/>
        <v>2344.2150000000001</v>
      </c>
      <c r="W79">
        <f t="shared" si="9"/>
        <v>5</v>
      </c>
      <c r="X79">
        <f t="shared" si="10"/>
        <v>-413.68499999999995</v>
      </c>
      <c r="Y79">
        <f t="shared" si="11"/>
        <v>0</v>
      </c>
    </row>
    <row r="80" spans="1:25" x14ac:dyDescent="0.35">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c r="T80">
        <f t="shared" si="6"/>
        <v>3138.2000000000003</v>
      </c>
      <c r="U80">
        <f t="shared" si="7"/>
        <v>0</v>
      </c>
      <c r="V80">
        <f t="shared" si="8"/>
        <v>3138.2000000000003</v>
      </c>
      <c r="W80">
        <f t="shared" si="9"/>
        <v>4</v>
      </c>
      <c r="X80">
        <f t="shared" si="10"/>
        <v>0</v>
      </c>
      <c r="Y80">
        <f t="shared" si="11"/>
        <v>0</v>
      </c>
    </row>
    <row r="81" spans="1:25" x14ac:dyDescent="0.35">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c r="T81">
        <f t="shared" si="6"/>
        <v>6686.67</v>
      </c>
      <c r="U81">
        <f t="shared" si="7"/>
        <v>0</v>
      </c>
      <c r="V81">
        <f t="shared" si="8"/>
        <v>6686.67</v>
      </c>
      <c r="W81">
        <f t="shared" si="9"/>
        <v>3</v>
      </c>
      <c r="X81">
        <f t="shared" si="10"/>
        <v>0</v>
      </c>
      <c r="Y81">
        <f t="shared" si="11"/>
        <v>0</v>
      </c>
    </row>
    <row r="82" spans="1:25" x14ac:dyDescent="0.35">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c r="T82">
        <f t="shared" si="6"/>
        <v>335</v>
      </c>
      <c r="U82">
        <f t="shared" si="7"/>
        <v>16.75</v>
      </c>
      <c r="V82">
        <f t="shared" si="8"/>
        <v>318.25</v>
      </c>
      <c r="W82">
        <f t="shared" si="9"/>
        <v>9</v>
      </c>
      <c r="X82">
        <f t="shared" si="10"/>
        <v>-16.75</v>
      </c>
      <c r="Y82">
        <f t="shared" si="11"/>
        <v>0</v>
      </c>
    </row>
    <row r="83" spans="1:25" x14ac:dyDescent="0.35">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c r="T83">
        <f t="shared" si="6"/>
        <v>2084.75</v>
      </c>
      <c r="U83">
        <f t="shared" si="7"/>
        <v>312.71249999999998</v>
      </c>
      <c r="V83">
        <f t="shared" si="8"/>
        <v>1772.0374999999999</v>
      </c>
      <c r="W83">
        <f t="shared" si="9"/>
        <v>9</v>
      </c>
      <c r="X83">
        <f t="shared" si="10"/>
        <v>-312.71250000000009</v>
      </c>
      <c r="Y83">
        <f t="shared" si="11"/>
        <v>0</v>
      </c>
    </row>
    <row r="84" spans="1:25" x14ac:dyDescent="0.35">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c r="T84">
        <f t="shared" si="6"/>
        <v>2563.7400000000002</v>
      </c>
      <c r="U84">
        <f t="shared" si="7"/>
        <v>128.18700000000001</v>
      </c>
      <c r="V84">
        <f t="shared" si="8"/>
        <v>2435.5530000000003</v>
      </c>
      <c r="W84">
        <f t="shared" si="9"/>
        <v>6</v>
      </c>
      <c r="X84">
        <f t="shared" si="10"/>
        <v>-128.1869999999999</v>
      </c>
      <c r="Y84">
        <f t="shared" si="11"/>
        <v>0</v>
      </c>
    </row>
    <row r="85" spans="1:25" x14ac:dyDescent="0.35">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c r="T85">
        <f t="shared" si="6"/>
        <v>6990.24</v>
      </c>
      <c r="U85">
        <f t="shared" si="7"/>
        <v>0</v>
      </c>
      <c r="V85">
        <f t="shared" si="8"/>
        <v>6990.24</v>
      </c>
      <c r="W85">
        <f t="shared" si="9"/>
        <v>6</v>
      </c>
      <c r="X85">
        <f t="shared" si="10"/>
        <v>0</v>
      </c>
      <c r="Y85">
        <f t="shared" si="11"/>
        <v>0</v>
      </c>
    </row>
    <row r="86" spans="1:25" x14ac:dyDescent="0.35">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c r="T86">
        <f t="shared" si="6"/>
        <v>2591.1999999999998</v>
      </c>
      <c r="U86">
        <f t="shared" si="7"/>
        <v>388.67999999999995</v>
      </c>
      <c r="V86">
        <f t="shared" si="8"/>
        <v>2202.52</v>
      </c>
      <c r="W86">
        <f t="shared" si="9"/>
        <v>2</v>
      </c>
      <c r="X86">
        <f t="shared" si="10"/>
        <v>-388.67999999999984</v>
      </c>
      <c r="Y86">
        <f t="shared" si="11"/>
        <v>0</v>
      </c>
    </row>
    <row r="87" spans="1:25" x14ac:dyDescent="0.35">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c r="T87">
        <f t="shared" si="6"/>
        <v>7340.94</v>
      </c>
      <c r="U87">
        <f t="shared" si="7"/>
        <v>0</v>
      </c>
      <c r="V87">
        <f t="shared" si="8"/>
        <v>7340.94</v>
      </c>
      <c r="W87">
        <f t="shared" si="9"/>
        <v>4</v>
      </c>
      <c r="X87">
        <f t="shared" si="10"/>
        <v>0</v>
      </c>
      <c r="Y87">
        <f t="shared" si="11"/>
        <v>0</v>
      </c>
    </row>
    <row r="88" spans="1:25" x14ac:dyDescent="0.35">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c r="T88">
        <f t="shared" si="6"/>
        <v>237.75</v>
      </c>
      <c r="U88">
        <f t="shared" si="7"/>
        <v>0</v>
      </c>
      <c r="V88">
        <f t="shared" si="8"/>
        <v>237.75</v>
      </c>
      <c r="W88">
        <f t="shared" si="9"/>
        <v>9</v>
      </c>
      <c r="X88">
        <f t="shared" si="10"/>
        <v>0</v>
      </c>
      <c r="Y88">
        <f t="shared" si="11"/>
        <v>0</v>
      </c>
    </row>
    <row r="89" spans="1:25" x14ac:dyDescent="0.35">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c r="T89">
        <f t="shared" si="6"/>
        <v>10966.800000000001</v>
      </c>
      <c r="U89">
        <f t="shared" si="7"/>
        <v>1096.68</v>
      </c>
      <c r="V89">
        <f t="shared" si="8"/>
        <v>9870.1200000000008</v>
      </c>
      <c r="W89">
        <f t="shared" si="9"/>
        <v>6</v>
      </c>
      <c r="X89">
        <f t="shared" si="10"/>
        <v>-1096.6800000000003</v>
      </c>
      <c r="Y89">
        <f t="shared" si="11"/>
        <v>0</v>
      </c>
    </row>
    <row r="90" spans="1:25" x14ac:dyDescent="0.35">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c r="T90">
        <f t="shared" si="6"/>
        <v>8413.2800000000007</v>
      </c>
      <c r="U90">
        <f t="shared" si="7"/>
        <v>420.66400000000004</v>
      </c>
      <c r="V90">
        <f t="shared" si="8"/>
        <v>7992.6160000000009</v>
      </c>
      <c r="W90">
        <f t="shared" si="9"/>
        <v>6</v>
      </c>
      <c r="X90">
        <f t="shared" si="10"/>
        <v>-420.66399999999976</v>
      </c>
      <c r="Y90">
        <f t="shared" si="11"/>
        <v>0</v>
      </c>
    </row>
    <row r="91" spans="1:25" x14ac:dyDescent="0.35">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c r="T91">
        <f t="shared" si="6"/>
        <v>6170.7</v>
      </c>
      <c r="U91">
        <f t="shared" si="7"/>
        <v>308.53500000000003</v>
      </c>
      <c r="V91">
        <f t="shared" si="8"/>
        <v>5862.165</v>
      </c>
      <c r="W91">
        <f t="shared" si="9"/>
        <v>9</v>
      </c>
      <c r="X91">
        <f t="shared" si="10"/>
        <v>-308.53499999999985</v>
      </c>
      <c r="Y91">
        <f t="shared" si="11"/>
        <v>0</v>
      </c>
    </row>
    <row r="92" spans="1:25" x14ac:dyDescent="0.35">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c r="T92">
        <f t="shared" si="6"/>
        <v>10639.050000000001</v>
      </c>
      <c r="U92">
        <f t="shared" si="7"/>
        <v>1063.9050000000002</v>
      </c>
      <c r="V92">
        <f t="shared" si="8"/>
        <v>9575.1450000000004</v>
      </c>
      <c r="W92">
        <f t="shared" si="9"/>
        <v>5</v>
      </c>
      <c r="X92">
        <f t="shared" si="10"/>
        <v>-1063.9050000000007</v>
      </c>
      <c r="Y92">
        <f t="shared" si="11"/>
        <v>0</v>
      </c>
    </row>
    <row r="93" spans="1:25" x14ac:dyDescent="0.35">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c r="T93">
        <f t="shared" si="6"/>
        <v>1439.2</v>
      </c>
      <c r="U93">
        <f t="shared" si="7"/>
        <v>71.960000000000008</v>
      </c>
      <c r="V93">
        <f t="shared" si="8"/>
        <v>1367.24</v>
      </c>
      <c r="W93">
        <f t="shared" si="9"/>
        <v>4</v>
      </c>
      <c r="X93">
        <f t="shared" si="10"/>
        <v>-71.960000000000036</v>
      </c>
      <c r="Y93">
        <f t="shared" si="11"/>
        <v>0</v>
      </c>
    </row>
    <row r="94" spans="1:25" x14ac:dyDescent="0.35">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c r="T94">
        <f t="shared" si="6"/>
        <v>5929.7999999999993</v>
      </c>
      <c r="U94">
        <f t="shared" si="7"/>
        <v>889.46999999999991</v>
      </c>
      <c r="V94">
        <f t="shared" si="8"/>
        <v>5040.329999999999</v>
      </c>
      <c r="W94">
        <f t="shared" si="9"/>
        <v>2</v>
      </c>
      <c r="X94">
        <f t="shared" si="10"/>
        <v>-889.47000000000025</v>
      </c>
      <c r="Y94">
        <f t="shared" si="11"/>
        <v>0</v>
      </c>
    </row>
    <row r="95" spans="1:25" x14ac:dyDescent="0.35">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c r="T95">
        <f t="shared" si="6"/>
        <v>4629.8999999999996</v>
      </c>
      <c r="U95">
        <f t="shared" si="7"/>
        <v>0</v>
      </c>
      <c r="V95">
        <f t="shared" si="8"/>
        <v>4629.8999999999996</v>
      </c>
      <c r="W95">
        <f t="shared" si="9"/>
        <v>2</v>
      </c>
      <c r="X95">
        <f t="shared" si="10"/>
        <v>0</v>
      </c>
      <c r="Y95">
        <f t="shared" si="11"/>
        <v>0</v>
      </c>
    </row>
    <row r="96" spans="1:25" x14ac:dyDescent="0.35">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c r="T96">
        <f t="shared" si="6"/>
        <v>3221.6800000000003</v>
      </c>
      <c r="U96">
        <f t="shared" si="7"/>
        <v>161.08400000000003</v>
      </c>
      <c r="V96">
        <f t="shared" si="8"/>
        <v>3060.5960000000005</v>
      </c>
      <c r="W96">
        <f t="shared" si="9"/>
        <v>10</v>
      </c>
      <c r="X96">
        <f t="shared" si="10"/>
        <v>-161.08399999999983</v>
      </c>
      <c r="Y96">
        <f t="shared" si="11"/>
        <v>0</v>
      </c>
    </row>
    <row r="97" spans="1:25" x14ac:dyDescent="0.35">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c r="T97">
        <f t="shared" si="6"/>
        <v>5261.84</v>
      </c>
      <c r="U97">
        <f t="shared" si="7"/>
        <v>263.09200000000004</v>
      </c>
      <c r="V97">
        <f t="shared" si="8"/>
        <v>4998.7480000000005</v>
      </c>
      <c r="W97">
        <f t="shared" si="9"/>
        <v>6</v>
      </c>
      <c r="X97">
        <f t="shared" si="10"/>
        <v>-263.09199999999964</v>
      </c>
      <c r="Y97">
        <f t="shared" si="11"/>
        <v>0</v>
      </c>
    </row>
    <row r="98" spans="1:25" x14ac:dyDescent="0.35">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c r="T98">
        <f t="shared" si="6"/>
        <v>323.83</v>
      </c>
      <c r="U98">
        <f t="shared" si="7"/>
        <v>16.191500000000001</v>
      </c>
      <c r="V98">
        <f t="shared" si="8"/>
        <v>307.63849999999996</v>
      </c>
      <c r="W98">
        <f t="shared" si="9"/>
        <v>8</v>
      </c>
      <c r="X98">
        <f t="shared" si="10"/>
        <v>-16.191500000000019</v>
      </c>
      <c r="Y98">
        <f t="shared" si="11"/>
        <v>0</v>
      </c>
    </row>
    <row r="99" spans="1:25" x14ac:dyDescent="0.35">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c r="T99">
        <f t="shared" si="6"/>
        <v>5030.7</v>
      </c>
      <c r="U99">
        <f t="shared" si="7"/>
        <v>0</v>
      </c>
      <c r="V99">
        <f t="shared" si="8"/>
        <v>5030.7</v>
      </c>
      <c r="W99">
        <f t="shared" si="9"/>
        <v>5</v>
      </c>
      <c r="X99">
        <f t="shared" si="10"/>
        <v>0</v>
      </c>
      <c r="Y99">
        <f t="shared" si="11"/>
        <v>0</v>
      </c>
    </row>
    <row r="100" spans="1:25" x14ac:dyDescent="0.35">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c r="T100">
        <f t="shared" si="6"/>
        <v>9833.6</v>
      </c>
      <c r="U100">
        <f t="shared" si="7"/>
        <v>1475.04</v>
      </c>
      <c r="V100">
        <f t="shared" si="8"/>
        <v>8358.5600000000013</v>
      </c>
      <c r="W100">
        <f t="shared" si="9"/>
        <v>3</v>
      </c>
      <c r="X100">
        <f t="shared" si="10"/>
        <v>-1475.0399999999991</v>
      </c>
      <c r="Y100">
        <f t="shared" si="11"/>
        <v>0</v>
      </c>
    </row>
    <row r="101" spans="1:25" x14ac:dyDescent="0.35">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c r="T101">
        <f t="shared" si="6"/>
        <v>7963.65</v>
      </c>
      <c r="U101">
        <f t="shared" si="7"/>
        <v>398.1825</v>
      </c>
      <c r="V101">
        <f t="shared" si="8"/>
        <v>7565.4674999999997</v>
      </c>
      <c r="W101">
        <f t="shared" si="9"/>
        <v>4</v>
      </c>
      <c r="X101">
        <f t="shared" si="10"/>
        <v>-398.18249999999989</v>
      </c>
      <c r="Y101">
        <f t="shared" si="11"/>
        <v>0</v>
      </c>
    </row>
    <row r="102" spans="1:25" x14ac:dyDescent="0.35">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c r="T102">
        <f t="shared" si="6"/>
        <v>4419.3599999999997</v>
      </c>
      <c r="U102">
        <f t="shared" si="7"/>
        <v>662.90399999999988</v>
      </c>
      <c r="V102">
        <f t="shared" si="8"/>
        <v>3756.4559999999997</v>
      </c>
      <c r="W102">
        <f t="shared" si="9"/>
        <v>9</v>
      </c>
      <c r="X102">
        <f t="shared" si="10"/>
        <v>-662.904</v>
      </c>
      <c r="Y102">
        <f t="shared" si="11"/>
        <v>0</v>
      </c>
    </row>
    <row r="103" spans="1:25" x14ac:dyDescent="0.35">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c r="T103">
        <f t="shared" si="6"/>
        <v>663</v>
      </c>
      <c r="U103">
        <f t="shared" si="7"/>
        <v>0</v>
      </c>
      <c r="V103">
        <f t="shared" si="8"/>
        <v>663</v>
      </c>
      <c r="W103">
        <f t="shared" si="9"/>
        <v>3</v>
      </c>
      <c r="X103">
        <f t="shared" si="10"/>
        <v>0</v>
      </c>
      <c r="Y103">
        <f t="shared" si="11"/>
        <v>0</v>
      </c>
    </row>
    <row r="104" spans="1:25" x14ac:dyDescent="0.35">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c r="T104">
        <f t="shared" si="6"/>
        <v>1130.6999999999998</v>
      </c>
      <c r="U104">
        <f t="shared" si="7"/>
        <v>56.534999999999997</v>
      </c>
      <c r="V104">
        <f t="shared" si="8"/>
        <v>1074.1649999999997</v>
      </c>
      <c r="W104">
        <f t="shared" si="9"/>
        <v>6</v>
      </c>
      <c r="X104">
        <f t="shared" si="10"/>
        <v>-56.535000000000082</v>
      </c>
      <c r="Y104">
        <f t="shared" si="11"/>
        <v>0</v>
      </c>
    </row>
    <row r="105" spans="1:25" x14ac:dyDescent="0.35">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c r="T105">
        <f t="shared" si="6"/>
        <v>1698.6000000000001</v>
      </c>
      <c r="U105">
        <f t="shared" si="7"/>
        <v>0</v>
      </c>
      <c r="V105">
        <f t="shared" si="8"/>
        <v>1698.6000000000001</v>
      </c>
      <c r="W105">
        <f t="shared" si="9"/>
        <v>10</v>
      </c>
      <c r="X105">
        <f t="shared" si="10"/>
        <v>0</v>
      </c>
      <c r="Y105">
        <f t="shared" si="11"/>
        <v>0</v>
      </c>
    </row>
    <row r="106" spans="1:25" x14ac:dyDescent="0.35">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c r="T106">
        <f t="shared" si="6"/>
        <v>2339.2600000000002</v>
      </c>
      <c r="U106">
        <f t="shared" si="7"/>
        <v>116.96300000000002</v>
      </c>
      <c r="V106">
        <f t="shared" si="8"/>
        <v>2222.297</v>
      </c>
      <c r="W106">
        <f t="shared" si="9"/>
        <v>9</v>
      </c>
      <c r="X106">
        <f t="shared" si="10"/>
        <v>-116.96300000000019</v>
      </c>
      <c r="Y106">
        <f t="shared" si="11"/>
        <v>0</v>
      </c>
    </row>
    <row r="107" spans="1:25" x14ac:dyDescent="0.35">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c r="T107">
        <f t="shared" si="6"/>
        <v>578.55999999999995</v>
      </c>
      <c r="U107">
        <f t="shared" si="7"/>
        <v>57.855999999999995</v>
      </c>
      <c r="V107">
        <f t="shared" si="8"/>
        <v>520.70399999999995</v>
      </c>
      <c r="W107">
        <f t="shared" si="9"/>
        <v>7</v>
      </c>
      <c r="X107">
        <f t="shared" si="10"/>
        <v>-57.855999999999995</v>
      </c>
      <c r="Y107">
        <f t="shared" si="11"/>
        <v>0</v>
      </c>
    </row>
    <row r="108" spans="1:25" x14ac:dyDescent="0.35">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c r="T108">
        <f t="shared" si="6"/>
        <v>147.88</v>
      </c>
      <c r="U108">
        <f t="shared" si="7"/>
        <v>7.3940000000000001</v>
      </c>
      <c r="V108">
        <f t="shared" si="8"/>
        <v>140.48599999999999</v>
      </c>
      <c r="W108">
        <f t="shared" si="9"/>
        <v>7</v>
      </c>
      <c r="X108">
        <f t="shared" si="10"/>
        <v>-7.3940000000000055</v>
      </c>
      <c r="Y108">
        <f t="shared" si="11"/>
        <v>0</v>
      </c>
    </row>
    <row r="109" spans="1:25" x14ac:dyDescent="0.35">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c r="T109">
        <f t="shared" si="6"/>
        <v>7351.84</v>
      </c>
      <c r="U109">
        <f t="shared" si="7"/>
        <v>735.18400000000008</v>
      </c>
      <c r="V109">
        <f t="shared" si="8"/>
        <v>6616.6559999999999</v>
      </c>
      <c r="W109">
        <f t="shared" si="9"/>
        <v>2</v>
      </c>
      <c r="X109">
        <f t="shared" si="10"/>
        <v>-735.1840000000002</v>
      </c>
      <c r="Y109">
        <f t="shared" si="11"/>
        <v>0</v>
      </c>
    </row>
    <row r="110" spans="1:25" x14ac:dyDescent="0.35">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c r="T110">
        <f t="shared" si="6"/>
        <v>504.15000000000003</v>
      </c>
      <c r="U110">
        <f t="shared" si="7"/>
        <v>0</v>
      </c>
      <c r="V110">
        <f t="shared" si="8"/>
        <v>504.15000000000003</v>
      </c>
      <c r="W110">
        <f t="shared" si="9"/>
        <v>7</v>
      </c>
      <c r="X110">
        <f t="shared" si="10"/>
        <v>0</v>
      </c>
      <c r="Y110">
        <f t="shared" si="11"/>
        <v>0</v>
      </c>
    </row>
    <row r="111" spans="1:25" x14ac:dyDescent="0.35">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c r="T111">
        <f t="shared" si="6"/>
        <v>525.55999999999995</v>
      </c>
      <c r="U111">
        <f t="shared" si="7"/>
        <v>78.833999999999989</v>
      </c>
      <c r="V111">
        <f t="shared" si="8"/>
        <v>446.72599999999994</v>
      </c>
      <c r="W111">
        <f t="shared" si="9"/>
        <v>10</v>
      </c>
      <c r="X111">
        <f t="shared" si="10"/>
        <v>-78.834000000000003</v>
      </c>
      <c r="Y111">
        <f t="shared" si="11"/>
        <v>0</v>
      </c>
    </row>
    <row r="112" spans="1:25" x14ac:dyDescent="0.35">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c r="T112">
        <f t="shared" si="6"/>
        <v>604.64</v>
      </c>
      <c r="U112">
        <f t="shared" si="7"/>
        <v>0</v>
      </c>
      <c r="V112">
        <f t="shared" si="8"/>
        <v>604.64</v>
      </c>
      <c r="W112">
        <f t="shared" si="9"/>
        <v>7</v>
      </c>
      <c r="X112">
        <f t="shared" si="10"/>
        <v>0</v>
      </c>
      <c r="Y112">
        <f t="shared" si="11"/>
        <v>0</v>
      </c>
    </row>
    <row r="113" spans="1:25" x14ac:dyDescent="0.35">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c r="T113">
        <f t="shared" si="6"/>
        <v>1335.86</v>
      </c>
      <c r="U113">
        <f t="shared" si="7"/>
        <v>133.58599999999998</v>
      </c>
      <c r="V113">
        <f t="shared" si="8"/>
        <v>1202.2739999999999</v>
      </c>
      <c r="W113">
        <f t="shared" si="9"/>
        <v>10</v>
      </c>
      <c r="X113">
        <f t="shared" si="10"/>
        <v>-133.58600000000001</v>
      </c>
      <c r="Y113">
        <f t="shared" si="11"/>
        <v>0</v>
      </c>
    </row>
    <row r="114" spans="1:25" x14ac:dyDescent="0.35">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c r="T114">
        <f t="shared" si="6"/>
        <v>559.94999999999993</v>
      </c>
      <c r="U114">
        <f t="shared" si="7"/>
        <v>27.997499999999999</v>
      </c>
      <c r="V114">
        <f t="shared" si="8"/>
        <v>531.95249999999999</v>
      </c>
      <c r="W114">
        <f t="shared" si="9"/>
        <v>5</v>
      </c>
      <c r="X114">
        <f t="shared" si="10"/>
        <v>-27.997499999999945</v>
      </c>
      <c r="Y114">
        <f t="shared" si="11"/>
        <v>0</v>
      </c>
    </row>
    <row r="115" spans="1:25" x14ac:dyDescent="0.35">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c r="T115">
        <f t="shared" si="6"/>
        <v>9666.36</v>
      </c>
      <c r="U115">
        <f t="shared" si="7"/>
        <v>1449.954</v>
      </c>
      <c r="V115">
        <f t="shared" si="8"/>
        <v>8216.4060000000009</v>
      </c>
      <c r="W115">
        <f t="shared" si="9"/>
        <v>5</v>
      </c>
      <c r="X115">
        <f t="shared" si="10"/>
        <v>-1449.9539999999997</v>
      </c>
      <c r="Y115">
        <f t="shared" si="11"/>
        <v>0</v>
      </c>
    </row>
    <row r="116" spans="1:25" x14ac:dyDescent="0.35">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c r="T116">
        <f t="shared" si="6"/>
        <v>1078</v>
      </c>
      <c r="U116">
        <f t="shared" si="7"/>
        <v>0</v>
      </c>
      <c r="V116">
        <f t="shared" si="8"/>
        <v>1078</v>
      </c>
      <c r="W116">
        <f t="shared" si="9"/>
        <v>10</v>
      </c>
      <c r="X116">
        <f t="shared" si="10"/>
        <v>0</v>
      </c>
      <c r="Y116">
        <f t="shared" si="11"/>
        <v>0</v>
      </c>
    </row>
    <row r="117" spans="1:25" x14ac:dyDescent="0.35">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c r="T117">
        <f t="shared" si="6"/>
        <v>3771</v>
      </c>
      <c r="U117">
        <f t="shared" si="7"/>
        <v>0</v>
      </c>
      <c r="V117">
        <f t="shared" si="8"/>
        <v>3771</v>
      </c>
      <c r="W117">
        <f t="shared" si="9"/>
        <v>8</v>
      </c>
      <c r="X117">
        <f t="shared" si="10"/>
        <v>0</v>
      </c>
      <c r="Y117">
        <f t="shared" si="11"/>
        <v>0</v>
      </c>
    </row>
    <row r="118" spans="1:25" x14ac:dyDescent="0.35">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c r="T118">
        <f t="shared" si="6"/>
        <v>2791.84</v>
      </c>
      <c r="U118">
        <f t="shared" si="7"/>
        <v>279.18400000000003</v>
      </c>
      <c r="V118">
        <f t="shared" si="8"/>
        <v>2512.6559999999999</v>
      </c>
      <c r="W118">
        <f t="shared" si="9"/>
        <v>5</v>
      </c>
      <c r="X118">
        <f t="shared" si="10"/>
        <v>-279.1840000000002</v>
      </c>
      <c r="Y118">
        <f t="shared" si="11"/>
        <v>0</v>
      </c>
    </row>
    <row r="119" spans="1:25" x14ac:dyDescent="0.35">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c r="T119">
        <f t="shared" si="6"/>
        <v>578.28</v>
      </c>
      <c r="U119">
        <f t="shared" si="7"/>
        <v>28.914000000000001</v>
      </c>
      <c r="V119">
        <f t="shared" si="8"/>
        <v>549.36599999999999</v>
      </c>
      <c r="W119">
        <f t="shared" si="9"/>
        <v>2</v>
      </c>
      <c r="X119">
        <f t="shared" si="10"/>
        <v>-28.913999999999987</v>
      </c>
      <c r="Y119">
        <f t="shared" si="11"/>
        <v>0</v>
      </c>
    </row>
    <row r="120" spans="1:25" x14ac:dyDescent="0.35">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c r="T120">
        <f t="shared" si="6"/>
        <v>1984.65</v>
      </c>
      <c r="U120">
        <f t="shared" si="7"/>
        <v>0</v>
      </c>
      <c r="V120">
        <f t="shared" si="8"/>
        <v>1984.65</v>
      </c>
      <c r="W120">
        <f t="shared" si="9"/>
        <v>7</v>
      </c>
      <c r="X120">
        <f t="shared" si="10"/>
        <v>0</v>
      </c>
      <c r="Y120">
        <f t="shared" si="11"/>
        <v>0</v>
      </c>
    </row>
    <row r="121" spans="1:25" x14ac:dyDescent="0.35">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c r="T121">
        <f t="shared" si="6"/>
        <v>5085.7</v>
      </c>
      <c r="U121">
        <f t="shared" si="7"/>
        <v>254.285</v>
      </c>
      <c r="V121">
        <f t="shared" si="8"/>
        <v>4831.415</v>
      </c>
      <c r="W121">
        <f t="shared" si="9"/>
        <v>5</v>
      </c>
      <c r="X121">
        <f t="shared" si="10"/>
        <v>-254.28499999999985</v>
      </c>
      <c r="Y121">
        <f t="shared" si="11"/>
        <v>0</v>
      </c>
    </row>
    <row r="122" spans="1:25" x14ac:dyDescent="0.35">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c r="T122">
        <f t="shared" si="6"/>
        <v>2855.71</v>
      </c>
      <c r="U122">
        <f t="shared" si="7"/>
        <v>285.57100000000003</v>
      </c>
      <c r="V122">
        <f t="shared" si="8"/>
        <v>2570.1390000000001</v>
      </c>
      <c r="W122">
        <f t="shared" si="9"/>
        <v>7</v>
      </c>
      <c r="X122">
        <f t="shared" si="10"/>
        <v>-285.57099999999991</v>
      </c>
      <c r="Y122">
        <f t="shared" si="11"/>
        <v>0</v>
      </c>
    </row>
    <row r="123" spans="1:25" x14ac:dyDescent="0.35">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c r="T123">
        <f t="shared" si="6"/>
        <v>2819.61</v>
      </c>
      <c r="U123">
        <f t="shared" si="7"/>
        <v>0</v>
      </c>
      <c r="V123">
        <f t="shared" si="8"/>
        <v>2819.61</v>
      </c>
      <c r="W123">
        <f t="shared" si="9"/>
        <v>6</v>
      </c>
      <c r="X123">
        <f t="shared" si="10"/>
        <v>0</v>
      </c>
      <c r="Y123">
        <f t="shared" si="11"/>
        <v>0</v>
      </c>
    </row>
    <row r="124" spans="1:25" x14ac:dyDescent="0.35">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c r="T124">
        <f t="shared" si="6"/>
        <v>532.84999999999991</v>
      </c>
      <c r="U124">
        <f t="shared" si="7"/>
        <v>53.284999999999997</v>
      </c>
      <c r="V124">
        <f t="shared" si="8"/>
        <v>479.56499999999994</v>
      </c>
      <c r="W124">
        <f t="shared" si="9"/>
        <v>6</v>
      </c>
      <c r="X124">
        <f t="shared" si="10"/>
        <v>-53.284999999999968</v>
      </c>
      <c r="Y124">
        <f t="shared" si="11"/>
        <v>0</v>
      </c>
    </row>
    <row r="125" spans="1:25" x14ac:dyDescent="0.35">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c r="T125">
        <f t="shared" si="6"/>
        <v>109</v>
      </c>
      <c r="U125">
        <f t="shared" si="7"/>
        <v>16.349999999999998</v>
      </c>
      <c r="V125">
        <f t="shared" si="8"/>
        <v>92.65</v>
      </c>
      <c r="W125">
        <f t="shared" si="9"/>
        <v>4</v>
      </c>
      <c r="X125">
        <f t="shared" si="10"/>
        <v>-16.349999999999994</v>
      </c>
      <c r="Y125">
        <f t="shared" si="11"/>
        <v>0</v>
      </c>
    </row>
    <row r="126" spans="1:25" x14ac:dyDescent="0.35">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c r="T126">
        <f t="shared" si="6"/>
        <v>2590.4</v>
      </c>
      <c r="U126">
        <f t="shared" si="7"/>
        <v>0</v>
      </c>
      <c r="V126">
        <f t="shared" si="8"/>
        <v>2590.4</v>
      </c>
      <c r="W126">
        <f t="shared" si="9"/>
        <v>8</v>
      </c>
      <c r="X126">
        <f t="shared" si="10"/>
        <v>0</v>
      </c>
      <c r="Y126">
        <f t="shared" si="11"/>
        <v>0</v>
      </c>
    </row>
    <row r="127" spans="1:25" x14ac:dyDescent="0.35">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c r="T127">
        <f t="shared" si="6"/>
        <v>6149.12</v>
      </c>
      <c r="U127">
        <f t="shared" si="7"/>
        <v>307.45600000000002</v>
      </c>
      <c r="V127">
        <f t="shared" si="8"/>
        <v>5841.6639999999998</v>
      </c>
      <c r="W127">
        <f t="shared" si="9"/>
        <v>2</v>
      </c>
      <c r="X127">
        <f t="shared" si="10"/>
        <v>-307.45600000000013</v>
      </c>
      <c r="Y127">
        <f t="shared" si="11"/>
        <v>0</v>
      </c>
    </row>
    <row r="128" spans="1:25" x14ac:dyDescent="0.35">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c r="T128">
        <f t="shared" si="6"/>
        <v>2621.76</v>
      </c>
      <c r="U128">
        <f t="shared" si="7"/>
        <v>393.26400000000001</v>
      </c>
      <c r="V128">
        <f t="shared" si="8"/>
        <v>2228.4960000000001</v>
      </c>
      <c r="W128">
        <f t="shared" si="9"/>
        <v>7</v>
      </c>
      <c r="X128">
        <f t="shared" si="10"/>
        <v>-393.26400000000012</v>
      </c>
      <c r="Y128">
        <f t="shared" si="11"/>
        <v>0</v>
      </c>
    </row>
    <row r="129" spans="1:25" x14ac:dyDescent="0.35">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c r="T129">
        <f t="shared" si="6"/>
        <v>117.05</v>
      </c>
      <c r="U129">
        <f t="shared" si="7"/>
        <v>0</v>
      </c>
      <c r="V129">
        <f t="shared" si="8"/>
        <v>117.05</v>
      </c>
      <c r="W129">
        <f t="shared" si="9"/>
        <v>9</v>
      </c>
      <c r="X129">
        <f t="shared" si="10"/>
        <v>0</v>
      </c>
      <c r="Y129">
        <f t="shared" si="11"/>
        <v>0</v>
      </c>
    </row>
    <row r="130" spans="1:25" x14ac:dyDescent="0.35">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c r="T130">
        <f t="shared" si="6"/>
        <v>9778</v>
      </c>
      <c r="U130">
        <f t="shared" si="7"/>
        <v>1466.7</v>
      </c>
      <c r="V130">
        <f t="shared" si="8"/>
        <v>8311.2999999999993</v>
      </c>
      <c r="W130">
        <f t="shared" si="9"/>
        <v>6</v>
      </c>
      <c r="X130">
        <f t="shared" si="10"/>
        <v>-1466.7000000000007</v>
      </c>
      <c r="Y130">
        <f t="shared" si="11"/>
        <v>0</v>
      </c>
    </row>
    <row r="131" spans="1:25" x14ac:dyDescent="0.35">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c r="T131">
        <f t="shared" ref="T131:T194" si="12">D131*E131</f>
        <v>3167.92</v>
      </c>
      <c r="U131">
        <f t="shared" ref="U131:U194" si="13">T131*H131</f>
        <v>158.39600000000002</v>
      </c>
      <c r="V131">
        <f t="shared" ref="V131:V194" si="14">T131-U131</f>
        <v>3009.5239999999999</v>
      </c>
      <c r="W131">
        <f t="shared" ref="W131:W194" si="15">R131-Q131</f>
        <v>7</v>
      </c>
      <c r="X131">
        <f t="shared" ref="X131:X194" si="16">V131-(E131*D131)</f>
        <v>-158.39600000000019</v>
      </c>
      <c r="Y131">
        <f t="shared" ref="Y131:Y194" si="17">IF(M131 = "Yes", -V131,0)</f>
        <v>0</v>
      </c>
    </row>
    <row r="132" spans="1:25" x14ac:dyDescent="0.35">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c r="T132">
        <f t="shared" si="12"/>
        <v>5117.6400000000003</v>
      </c>
      <c r="U132">
        <f t="shared" si="13"/>
        <v>0</v>
      </c>
      <c r="V132">
        <f t="shared" si="14"/>
        <v>5117.6400000000003</v>
      </c>
      <c r="W132">
        <f t="shared" si="15"/>
        <v>7</v>
      </c>
      <c r="X132">
        <f t="shared" si="16"/>
        <v>0</v>
      </c>
      <c r="Y132">
        <f t="shared" si="17"/>
        <v>0</v>
      </c>
    </row>
    <row r="133" spans="1:25" x14ac:dyDescent="0.35">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c r="T133">
        <f t="shared" si="12"/>
        <v>6197.0999999999995</v>
      </c>
      <c r="U133">
        <f t="shared" si="13"/>
        <v>0</v>
      </c>
      <c r="V133">
        <f t="shared" si="14"/>
        <v>6197.0999999999995</v>
      </c>
      <c r="W133">
        <f t="shared" si="15"/>
        <v>6</v>
      </c>
      <c r="X133">
        <f t="shared" si="16"/>
        <v>0</v>
      </c>
      <c r="Y133">
        <f t="shared" si="17"/>
        <v>0</v>
      </c>
    </row>
    <row r="134" spans="1:25" x14ac:dyDescent="0.35">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c r="T134">
        <f t="shared" si="12"/>
        <v>5633.28</v>
      </c>
      <c r="U134">
        <f t="shared" si="13"/>
        <v>0</v>
      </c>
      <c r="V134">
        <f t="shared" si="14"/>
        <v>5633.28</v>
      </c>
      <c r="W134">
        <f t="shared" si="15"/>
        <v>9</v>
      </c>
      <c r="X134">
        <f t="shared" si="16"/>
        <v>0</v>
      </c>
      <c r="Y134">
        <f t="shared" si="17"/>
        <v>0</v>
      </c>
    </row>
    <row r="135" spans="1:25" x14ac:dyDescent="0.35">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c r="T135">
        <f t="shared" si="12"/>
        <v>3482.78</v>
      </c>
      <c r="U135">
        <f t="shared" si="13"/>
        <v>174.13900000000001</v>
      </c>
      <c r="V135">
        <f t="shared" si="14"/>
        <v>3308.6410000000001</v>
      </c>
      <c r="W135">
        <f t="shared" si="15"/>
        <v>6</v>
      </c>
      <c r="X135">
        <f t="shared" si="16"/>
        <v>-174.13900000000012</v>
      </c>
      <c r="Y135">
        <f t="shared" si="17"/>
        <v>0</v>
      </c>
    </row>
    <row r="136" spans="1:25" x14ac:dyDescent="0.35">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c r="T136">
        <f t="shared" si="12"/>
        <v>2261.16</v>
      </c>
      <c r="U136">
        <f t="shared" si="13"/>
        <v>113.05799999999999</v>
      </c>
      <c r="V136">
        <f t="shared" si="14"/>
        <v>2148.1019999999999</v>
      </c>
      <c r="W136">
        <f t="shared" si="15"/>
        <v>5</v>
      </c>
      <c r="X136">
        <f t="shared" si="16"/>
        <v>-113.05799999999999</v>
      </c>
      <c r="Y136">
        <f t="shared" si="17"/>
        <v>0</v>
      </c>
    </row>
    <row r="137" spans="1:25" x14ac:dyDescent="0.35">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c r="T137">
        <f t="shared" si="12"/>
        <v>2937.6000000000004</v>
      </c>
      <c r="U137">
        <f t="shared" si="13"/>
        <v>146.88000000000002</v>
      </c>
      <c r="V137">
        <f t="shared" si="14"/>
        <v>2790.7200000000003</v>
      </c>
      <c r="W137">
        <f t="shared" si="15"/>
        <v>9</v>
      </c>
      <c r="X137">
        <f t="shared" si="16"/>
        <v>-146.88000000000011</v>
      </c>
      <c r="Y137">
        <f t="shared" si="17"/>
        <v>0</v>
      </c>
    </row>
    <row r="138" spans="1:25" x14ac:dyDescent="0.35">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c r="T138">
        <f t="shared" si="12"/>
        <v>3782.09</v>
      </c>
      <c r="U138">
        <f t="shared" si="13"/>
        <v>189.10450000000003</v>
      </c>
      <c r="V138">
        <f t="shared" si="14"/>
        <v>3592.9855000000002</v>
      </c>
      <c r="W138">
        <f t="shared" si="15"/>
        <v>9</v>
      </c>
      <c r="X138">
        <f t="shared" si="16"/>
        <v>-189.10449999999992</v>
      </c>
      <c r="Y138">
        <f t="shared" si="17"/>
        <v>0</v>
      </c>
    </row>
    <row r="139" spans="1:25" x14ac:dyDescent="0.35">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c r="T139">
        <f t="shared" si="12"/>
        <v>2524.3900000000003</v>
      </c>
      <c r="U139">
        <f t="shared" si="13"/>
        <v>252.43900000000005</v>
      </c>
      <c r="V139">
        <f t="shared" si="14"/>
        <v>2271.9510000000005</v>
      </c>
      <c r="W139">
        <f t="shared" si="15"/>
        <v>3</v>
      </c>
      <c r="X139">
        <f t="shared" si="16"/>
        <v>-252.43899999999985</v>
      </c>
      <c r="Y139">
        <f t="shared" si="17"/>
        <v>0</v>
      </c>
    </row>
    <row r="140" spans="1:25" x14ac:dyDescent="0.35">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c r="T140">
        <f t="shared" si="12"/>
        <v>854.72</v>
      </c>
      <c r="U140">
        <f t="shared" si="13"/>
        <v>42.736000000000004</v>
      </c>
      <c r="V140">
        <f t="shared" si="14"/>
        <v>811.98400000000004</v>
      </c>
      <c r="W140">
        <f t="shared" si="15"/>
        <v>3</v>
      </c>
      <c r="X140">
        <f t="shared" si="16"/>
        <v>-42.73599999999999</v>
      </c>
      <c r="Y140">
        <f t="shared" si="17"/>
        <v>0</v>
      </c>
    </row>
    <row r="141" spans="1:25" x14ac:dyDescent="0.35">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c r="T141">
        <f t="shared" si="12"/>
        <v>887.02</v>
      </c>
      <c r="U141">
        <f t="shared" si="13"/>
        <v>44.350999999999999</v>
      </c>
      <c r="V141">
        <f t="shared" si="14"/>
        <v>842.66899999999998</v>
      </c>
      <c r="W141">
        <f t="shared" si="15"/>
        <v>3</v>
      </c>
      <c r="X141">
        <f t="shared" si="16"/>
        <v>-44.350999999999999</v>
      </c>
      <c r="Y141">
        <f t="shared" si="17"/>
        <v>0</v>
      </c>
    </row>
    <row r="142" spans="1:25" x14ac:dyDescent="0.35">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c r="T142">
        <f t="shared" si="12"/>
        <v>3648.19</v>
      </c>
      <c r="U142">
        <f t="shared" si="13"/>
        <v>547.22849999999994</v>
      </c>
      <c r="V142">
        <f t="shared" si="14"/>
        <v>3100.9615000000003</v>
      </c>
      <c r="W142">
        <f t="shared" si="15"/>
        <v>5</v>
      </c>
      <c r="X142">
        <f t="shared" si="16"/>
        <v>-547.22849999999971</v>
      </c>
      <c r="Y142">
        <f t="shared" si="17"/>
        <v>0</v>
      </c>
    </row>
    <row r="143" spans="1:25" x14ac:dyDescent="0.35">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c r="T143">
        <f t="shared" si="12"/>
        <v>5416.58</v>
      </c>
      <c r="U143">
        <f t="shared" si="13"/>
        <v>812.48699999999997</v>
      </c>
      <c r="V143">
        <f t="shared" si="14"/>
        <v>4604.0929999999998</v>
      </c>
      <c r="W143">
        <f t="shared" si="15"/>
        <v>7</v>
      </c>
      <c r="X143">
        <f t="shared" si="16"/>
        <v>-812.48700000000008</v>
      </c>
      <c r="Y143">
        <f t="shared" si="17"/>
        <v>0</v>
      </c>
    </row>
    <row r="144" spans="1:25" x14ac:dyDescent="0.35">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c r="T144">
        <f t="shared" si="12"/>
        <v>6484.2800000000007</v>
      </c>
      <c r="U144">
        <f t="shared" si="13"/>
        <v>0</v>
      </c>
      <c r="V144">
        <f t="shared" si="14"/>
        <v>6484.2800000000007</v>
      </c>
      <c r="W144">
        <f t="shared" si="15"/>
        <v>8</v>
      </c>
      <c r="X144">
        <f t="shared" si="16"/>
        <v>0</v>
      </c>
      <c r="Y144">
        <f t="shared" si="17"/>
        <v>0</v>
      </c>
    </row>
    <row r="145" spans="1:25" x14ac:dyDescent="0.35">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c r="T145">
        <f t="shared" si="12"/>
        <v>2751.12</v>
      </c>
      <c r="U145">
        <f t="shared" si="13"/>
        <v>412.66799999999995</v>
      </c>
      <c r="V145">
        <f t="shared" si="14"/>
        <v>2338.4519999999998</v>
      </c>
      <c r="W145">
        <f t="shared" si="15"/>
        <v>9</v>
      </c>
      <c r="X145">
        <f t="shared" si="16"/>
        <v>-412.66800000000012</v>
      </c>
      <c r="Y145">
        <f t="shared" si="17"/>
        <v>0</v>
      </c>
    </row>
    <row r="146" spans="1:25" x14ac:dyDescent="0.35">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c r="T146">
        <f t="shared" si="12"/>
        <v>654.64</v>
      </c>
      <c r="U146">
        <f t="shared" si="13"/>
        <v>0</v>
      </c>
      <c r="V146">
        <f t="shared" si="14"/>
        <v>654.64</v>
      </c>
      <c r="W146">
        <f t="shared" si="15"/>
        <v>2</v>
      </c>
      <c r="X146">
        <f t="shared" si="16"/>
        <v>0</v>
      </c>
      <c r="Y146">
        <f t="shared" si="17"/>
        <v>0</v>
      </c>
    </row>
    <row r="147" spans="1:25" x14ac:dyDescent="0.35">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c r="T147">
        <f t="shared" si="12"/>
        <v>9200.75</v>
      </c>
      <c r="U147">
        <f t="shared" si="13"/>
        <v>1380.1125</v>
      </c>
      <c r="V147">
        <f t="shared" si="14"/>
        <v>7820.6374999999998</v>
      </c>
      <c r="W147">
        <f t="shared" si="15"/>
        <v>2</v>
      </c>
      <c r="X147">
        <f t="shared" si="16"/>
        <v>-1380.1125000000002</v>
      </c>
      <c r="Y147">
        <f t="shared" si="17"/>
        <v>0</v>
      </c>
    </row>
    <row r="148" spans="1:25" x14ac:dyDescent="0.35">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c r="T148">
        <f t="shared" si="12"/>
        <v>3423.6</v>
      </c>
      <c r="U148">
        <f t="shared" si="13"/>
        <v>342.36</v>
      </c>
      <c r="V148">
        <f t="shared" si="14"/>
        <v>3081.24</v>
      </c>
      <c r="W148">
        <f t="shared" si="15"/>
        <v>6</v>
      </c>
      <c r="X148">
        <f t="shared" si="16"/>
        <v>-342.36000000000013</v>
      </c>
      <c r="Y148">
        <f t="shared" si="17"/>
        <v>0</v>
      </c>
    </row>
    <row r="149" spans="1:25" x14ac:dyDescent="0.35">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c r="T149">
        <f t="shared" si="12"/>
        <v>5650.46</v>
      </c>
      <c r="U149">
        <f t="shared" si="13"/>
        <v>565.04600000000005</v>
      </c>
      <c r="V149">
        <f t="shared" si="14"/>
        <v>5085.4139999999998</v>
      </c>
      <c r="W149">
        <f t="shared" si="15"/>
        <v>9</v>
      </c>
      <c r="X149">
        <f t="shared" si="16"/>
        <v>-565.04600000000028</v>
      </c>
      <c r="Y149">
        <f t="shared" si="17"/>
        <v>0</v>
      </c>
    </row>
    <row r="150" spans="1:25" x14ac:dyDescent="0.35">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c r="T150">
        <f t="shared" si="12"/>
        <v>3164.1</v>
      </c>
      <c r="U150">
        <f t="shared" si="13"/>
        <v>158.20500000000001</v>
      </c>
      <c r="V150">
        <f t="shared" si="14"/>
        <v>3005.895</v>
      </c>
      <c r="W150">
        <f t="shared" si="15"/>
        <v>10</v>
      </c>
      <c r="X150">
        <f t="shared" si="16"/>
        <v>-158.20499999999993</v>
      </c>
      <c r="Y150">
        <f t="shared" si="17"/>
        <v>0</v>
      </c>
    </row>
    <row r="151" spans="1:25" x14ac:dyDescent="0.35">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c r="T151">
        <f t="shared" si="12"/>
        <v>3445.2000000000003</v>
      </c>
      <c r="U151">
        <f t="shared" si="13"/>
        <v>0</v>
      </c>
      <c r="V151">
        <f t="shared" si="14"/>
        <v>3445.2000000000003</v>
      </c>
      <c r="W151">
        <f t="shared" si="15"/>
        <v>2</v>
      </c>
      <c r="X151">
        <f t="shared" si="16"/>
        <v>0</v>
      </c>
      <c r="Y151">
        <f t="shared" si="17"/>
        <v>0</v>
      </c>
    </row>
    <row r="152" spans="1:25" x14ac:dyDescent="0.35">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c r="T152">
        <f t="shared" si="12"/>
        <v>1158.8700000000001</v>
      </c>
      <c r="U152">
        <f t="shared" si="13"/>
        <v>173.8305</v>
      </c>
      <c r="V152">
        <f t="shared" si="14"/>
        <v>985.03950000000009</v>
      </c>
      <c r="W152">
        <f t="shared" si="15"/>
        <v>10</v>
      </c>
      <c r="X152">
        <f t="shared" si="16"/>
        <v>-173.83050000000003</v>
      </c>
      <c r="Y152">
        <f t="shared" si="17"/>
        <v>0</v>
      </c>
    </row>
    <row r="153" spans="1:25" x14ac:dyDescent="0.35">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c r="T153">
        <f t="shared" si="12"/>
        <v>1129.95</v>
      </c>
      <c r="U153">
        <f t="shared" si="13"/>
        <v>0</v>
      </c>
      <c r="V153">
        <f t="shared" si="14"/>
        <v>1129.95</v>
      </c>
      <c r="W153">
        <f t="shared" si="15"/>
        <v>8</v>
      </c>
      <c r="X153">
        <f t="shared" si="16"/>
        <v>0</v>
      </c>
      <c r="Y153">
        <f t="shared" si="17"/>
        <v>0</v>
      </c>
    </row>
    <row r="154" spans="1:25" x14ac:dyDescent="0.35">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c r="T154">
        <f t="shared" si="12"/>
        <v>6251.2</v>
      </c>
      <c r="U154">
        <f t="shared" si="13"/>
        <v>937.68</v>
      </c>
      <c r="V154">
        <f t="shared" si="14"/>
        <v>5313.5199999999995</v>
      </c>
      <c r="W154">
        <f t="shared" si="15"/>
        <v>2</v>
      </c>
      <c r="X154">
        <f t="shared" si="16"/>
        <v>-937.68000000000029</v>
      </c>
      <c r="Y154">
        <f t="shared" si="17"/>
        <v>0</v>
      </c>
    </row>
    <row r="155" spans="1:25" x14ac:dyDescent="0.35">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c r="T155">
        <f t="shared" si="12"/>
        <v>5639.01</v>
      </c>
      <c r="U155">
        <f t="shared" si="13"/>
        <v>281.95050000000003</v>
      </c>
      <c r="V155">
        <f t="shared" si="14"/>
        <v>5357.0595000000003</v>
      </c>
      <c r="W155">
        <f t="shared" si="15"/>
        <v>4</v>
      </c>
      <c r="X155">
        <f t="shared" si="16"/>
        <v>-281.95049999999992</v>
      </c>
      <c r="Y155">
        <f t="shared" si="17"/>
        <v>0</v>
      </c>
    </row>
    <row r="156" spans="1:25" x14ac:dyDescent="0.35">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c r="T156">
        <f t="shared" si="12"/>
        <v>3186.6000000000004</v>
      </c>
      <c r="U156">
        <f t="shared" si="13"/>
        <v>0</v>
      </c>
      <c r="V156">
        <f t="shared" si="14"/>
        <v>3186.6000000000004</v>
      </c>
      <c r="W156">
        <f t="shared" si="15"/>
        <v>3</v>
      </c>
      <c r="X156">
        <f t="shared" si="16"/>
        <v>0</v>
      </c>
      <c r="Y156">
        <f t="shared" si="17"/>
        <v>0</v>
      </c>
    </row>
    <row r="157" spans="1:25" x14ac:dyDescent="0.35">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c r="T157">
        <f t="shared" si="12"/>
        <v>580.14</v>
      </c>
      <c r="U157">
        <f t="shared" si="13"/>
        <v>29.007000000000001</v>
      </c>
      <c r="V157">
        <f t="shared" si="14"/>
        <v>551.13300000000004</v>
      </c>
      <c r="W157">
        <f t="shared" si="15"/>
        <v>4</v>
      </c>
      <c r="X157">
        <f t="shared" si="16"/>
        <v>-29.006999999999948</v>
      </c>
      <c r="Y157">
        <f t="shared" si="17"/>
        <v>0</v>
      </c>
    </row>
    <row r="158" spans="1:25" x14ac:dyDescent="0.35">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c r="T158">
        <f t="shared" si="12"/>
        <v>1583.31</v>
      </c>
      <c r="U158">
        <f t="shared" si="13"/>
        <v>158.33100000000002</v>
      </c>
      <c r="V158">
        <f t="shared" si="14"/>
        <v>1424.9789999999998</v>
      </c>
      <c r="W158">
        <f t="shared" si="15"/>
        <v>3</v>
      </c>
      <c r="X158">
        <f t="shared" si="16"/>
        <v>-158.33100000000013</v>
      </c>
      <c r="Y158">
        <f t="shared" si="17"/>
        <v>0</v>
      </c>
    </row>
    <row r="159" spans="1:25" x14ac:dyDescent="0.35">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c r="T159">
        <f t="shared" si="12"/>
        <v>4075.2599999999998</v>
      </c>
      <c r="U159">
        <f t="shared" si="13"/>
        <v>0</v>
      </c>
      <c r="V159">
        <f t="shared" si="14"/>
        <v>4075.2599999999998</v>
      </c>
      <c r="W159">
        <f t="shared" si="15"/>
        <v>8</v>
      </c>
      <c r="X159">
        <f t="shared" si="16"/>
        <v>0</v>
      </c>
      <c r="Y159">
        <f t="shared" si="17"/>
        <v>0</v>
      </c>
    </row>
    <row r="160" spans="1:25" x14ac:dyDescent="0.35">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c r="T160">
        <f t="shared" si="12"/>
        <v>2800.96</v>
      </c>
      <c r="U160">
        <f t="shared" si="13"/>
        <v>0</v>
      </c>
      <c r="V160">
        <f t="shared" si="14"/>
        <v>2800.96</v>
      </c>
      <c r="W160">
        <f t="shared" si="15"/>
        <v>6</v>
      </c>
      <c r="X160">
        <f t="shared" si="16"/>
        <v>0</v>
      </c>
      <c r="Y160">
        <f t="shared" si="17"/>
        <v>0</v>
      </c>
    </row>
    <row r="161" spans="1:25" x14ac:dyDescent="0.35">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c r="T161">
        <f t="shared" si="12"/>
        <v>1952.6</v>
      </c>
      <c r="U161">
        <f t="shared" si="13"/>
        <v>97.63</v>
      </c>
      <c r="V161">
        <f t="shared" si="14"/>
        <v>1854.9699999999998</v>
      </c>
      <c r="W161">
        <f t="shared" si="15"/>
        <v>5</v>
      </c>
      <c r="X161">
        <f t="shared" si="16"/>
        <v>-97.630000000000109</v>
      </c>
      <c r="Y161">
        <f t="shared" si="17"/>
        <v>0</v>
      </c>
    </row>
    <row r="162" spans="1:25" x14ac:dyDescent="0.35">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c r="T162">
        <f t="shared" si="12"/>
        <v>3784.3</v>
      </c>
      <c r="U162">
        <f t="shared" si="13"/>
        <v>0</v>
      </c>
      <c r="V162">
        <f t="shared" si="14"/>
        <v>3784.3</v>
      </c>
      <c r="W162">
        <f t="shared" si="15"/>
        <v>5</v>
      </c>
      <c r="X162">
        <f t="shared" si="16"/>
        <v>0</v>
      </c>
      <c r="Y162">
        <f t="shared" si="17"/>
        <v>0</v>
      </c>
    </row>
    <row r="163" spans="1:25" x14ac:dyDescent="0.35">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c r="T163">
        <f t="shared" si="12"/>
        <v>563.52</v>
      </c>
      <c r="U163">
        <f t="shared" si="13"/>
        <v>84.527999999999992</v>
      </c>
      <c r="V163">
        <f t="shared" si="14"/>
        <v>478.99199999999996</v>
      </c>
      <c r="W163">
        <f t="shared" si="15"/>
        <v>7</v>
      </c>
      <c r="X163">
        <f t="shared" si="16"/>
        <v>-84.52800000000002</v>
      </c>
      <c r="Y163">
        <f t="shared" si="17"/>
        <v>0</v>
      </c>
    </row>
    <row r="164" spans="1:25" x14ac:dyDescent="0.35">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c r="T164">
        <f t="shared" si="12"/>
        <v>79.599999999999994</v>
      </c>
      <c r="U164">
        <f t="shared" si="13"/>
        <v>0</v>
      </c>
      <c r="V164">
        <f t="shared" si="14"/>
        <v>79.599999999999994</v>
      </c>
      <c r="W164">
        <f t="shared" si="15"/>
        <v>2</v>
      </c>
      <c r="X164">
        <f t="shared" si="16"/>
        <v>0</v>
      </c>
      <c r="Y164">
        <f t="shared" si="17"/>
        <v>0</v>
      </c>
    </row>
    <row r="165" spans="1:25" x14ac:dyDescent="0.35">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c r="T165">
        <f t="shared" si="12"/>
        <v>1923.52</v>
      </c>
      <c r="U165">
        <f t="shared" si="13"/>
        <v>288.52799999999996</v>
      </c>
      <c r="V165">
        <f t="shared" si="14"/>
        <v>1634.992</v>
      </c>
      <c r="W165">
        <f t="shared" si="15"/>
        <v>7</v>
      </c>
      <c r="X165">
        <f t="shared" si="16"/>
        <v>-288.52800000000002</v>
      </c>
      <c r="Y165">
        <f t="shared" si="17"/>
        <v>0</v>
      </c>
    </row>
    <row r="166" spans="1:25" x14ac:dyDescent="0.35">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c r="T166">
        <f t="shared" si="12"/>
        <v>1306.8</v>
      </c>
      <c r="U166">
        <f t="shared" si="13"/>
        <v>65.34</v>
      </c>
      <c r="V166">
        <f t="shared" si="14"/>
        <v>1241.46</v>
      </c>
      <c r="W166">
        <f t="shared" si="15"/>
        <v>7</v>
      </c>
      <c r="X166">
        <f t="shared" si="16"/>
        <v>-65.339999999999918</v>
      </c>
      <c r="Y166">
        <f t="shared" si="17"/>
        <v>0</v>
      </c>
    </row>
    <row r="167" spans="1:25" x14ac:dyDescent="0.35">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c r="T167">
        <f t="shared" si="12"/>
        <v>924.5</v>
      </c>
      <c r="U167">
        <f t="shared" si="13"/>
        <v>92.45</v>
      </c>
      <c r="V167">
        <f t="shared" si="14"/>
        <v>832.05</v>
      </c>
      <c r="W167">
        <f t="shared" si="15"/>
        <v>6</v>
      </c>
      <c r="X167">
        <f t="shared" si="16"/>
        <v>-92.450000000000045</v>
      </c>
      <c r="Y167">
        <f t="shared" si="17"/>
        <v>0</v>
      </c>
    </row>
    <row r="168" spans="1:25" x14ac:dyDescent="0.35">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c r="T168">
        <f t="shared" si="12"/>
        <v>8806.69</v>
      </c>
      <c r="U168">
        <f t="shared" si="13"/>
        <v>0</v>
      </c>
      <c r="V168">
        <f t="shared" si="14"/>
        <v>8806.69</v>
      </c>
      <c r="W168">
        <f t="shared" si="15"/>
        <v>3</v>
      </c>
      <c r="X168">
        <f t="shared" si="16"/>
        <v>0</v>
      </c>
      <c r="Y168">
        <f t="shared" si="17"/>
        <v>0</v>
      </c>
    </row>
    <row r="169" spans="1:25" x14ac:dyDescent="0.35">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c r="T169">
        <f t="shared" si="12"/>
        <v>1992.8999999999999</v>
      </c>
      <c r="U169">
        <f t="shared" si="13"/>
        <v>99.644999999999996</v>
      </c>
      <c r="V169">
        <f t="shared" si="14"/>
        <v>1893.2549999999999</v>
      </c>
      <c r="W169">
        <f t="shared" si="15"/>
        <v>9</v>
      </c>
      <c r="X169">
        <f t="shared" si="16"/>
        <v>-99.644999999999982</v>
      </c>
      <c r="Y169">
        <f t="shared" si="17"/>
        <v>0</v>
      </c>
    </row>
    <row r="170" spans="1:25" x14ac:dyDescent="0.35">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c r="T170">
        <f t="shared" si="12"/>
        <v>6865</v>
      </c>
      <c r="U170">
        <f t="shared" si="13"/>
        <v>343.25</v>
      </c>
      <c r="V170">
        <f t="shared" si="14"/>
        <v>6521.75</v>
      </c>
      <c r="W170">
        <f t="shared" si="15"/>
        <v>8</v>
      </c>
      <c r="X170">
        <f t="shared" si="16"/>
        <v>-343.25</v>
      </c>
      <c r="Y170">
        <f t="shared" si="17"/>
        <v>0</v>
      </c>
    </row>
    <row r="171" spans="1:25" x14ac:dyDescent="0.35">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c r="T171">
        <f t="shared" si="12"/>
        <v>571.43999999999994</v>
      </c>
      <c r="U171">
        <f t="shared" si="13"/>
        <v>85.715999999999994</v>
      </c>
      <c r="V171">
        <f t="shared" si="14"/>
        <v>485.72399999999993</v>
      </c>
      <c r="W171">
        <f t="shared" si="15"/>
        <v>8</v>
      </c>
      <c r="X171">
        <f t="shared" si="16"/>
        <v>-85.716000000000008</v>
      </c>
      <c r="Y171">
        <f t="shared" si="17"/>
        <v>0</v>
      </c>
    </row>
    <row r="172" spans="1:25" x14ac:dyDescent="0.35">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c r="T172">
        <f t="shared" si="12"/>
        <v>1362.3999999999999</v>
      </c>
      <c r="U172">
        <f t="shared" si="13"/>
        <v>68.11999999999999</v>
      </c>
      <c r="V172">
        <f t="shared" si="14"/>
        <v>1294.28</v>
      </c>
      <c r="W172">
        <f t="shared" si="15"/>
        <v>7</v>
      </c>
      <c r="X172">
        <f t="shared" si="16"/>
        <v>-68.119999999999891</v>
      </c>
      <c r="Y172">
        <f t="shared" si="17"/>
        <v>0</v>
      </c>
    </row>
    <row r="173" spans="1:25" x14ac:dyDescent="0.35">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c r="T173">
        <f t="shared" si="12"/>
        <v>1971.72</v>
      </c>
      <c r="U173">
        <f t="shared" si="13"/>
        <v>197.17200000000003</v>
      </c>
      <c r="V173">
        <f t="shared" si="14"/>
        <v>1774.548</v>
      </c>
      <c r="W173">
        <f t="shared" si="15"/>
        <v>4</v>
      </c>
      <c r="X173">
        <f t="shared" si="16"/>
        <v>-197.17200000000003</v>
      </c>
      <c r="Y173">
        <f t="shared" si="17"/>
        <v>0</v>
      </c>
    </row>
    <row r="174" spans="1:25" x14ac:dyDescent="0.35">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c r="T174">
        <f t="shared" si="12"/>
        <v>3251.8</v>
      </c>
      <c r="U174">
        <f t="shared" si="13"/>
        <v>325.18000000000006</v>
      </c>
      <c r="V174">
        <f t="shared" si="14"/>
        <v>2926.62</v>
      </c>
      <c r="W174">
        <f t="shared" si="15"/>
        <v>10</v>
      </c>
      <c r="X174">
        <f t="shared" si="16"/>
        <v>-325.18000000000029</v>
      </c>
      <c r="Y174">
        <f t="shared" si="17"/>
        <v>0</v>
      </c>
    </row>
    <row r="175" spans="1:25" x14ac:dyDescent="0.35">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c r="T175">
        <f t="shared" si="12"/>
        <v>9227.94</v>
      </c>
      <c r="U175">
        <f t="shared" si="13"/>
        <v>0</v>
      </c>
      <c r="V175">
        <f t="shared" si="14"/>
        <v>9227.94</v>
      </c>
      <c r="W175">
        <f t="shared" si="15"/>
        <v>7</v>
      </c>
      <c r="X175">
        <f t="shared" si="16"/>
        <v>0</v>
      </c>
      <c r="Y175">
        <f t="shared" si="17"/>
        <v>0</v>
      </c>
    </row>
    <row r="176" spans="1:25" x14ac:dyDescent="0.35">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c r="T176">
        <f t="shared" si="12"/>
        <v>2904.72</v>
      </c>
      <c r="U176">
        <f t="shared" si="13"/>
        <v>145.23599999999999</v>
      </c>
      <c r="V176">
        <f t="shared" si="14"/>
        <v>2759.4839999999999</v>
      </c>
      <c r="W176">
        <f t="shared" si="15"/>
        <v>9</v>
      </c>
      <c r="X176">
        <f t="shared" si="16"/>
        <v>-145.23599999999988</v>
      </c>
      <c r="Y176">
        <f t="shared" si="17"/>
        <v>0</v>
      </c>
    </row>
    <row r="177" spans="1:25" x14ac:dyDescent="0.35">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c r="T177">
        <f t="shared" si="12"/>
        <v>8973.9599999999991</v>
      </c>
      <c r="U177">
        <f t="shared" si="13"/>
        <v>448.69799999999998</v>
      </c>
      <c r="V177">
        <f t="shared" si="14"/>
        <v>8525.2619999999988</v>
      </c>
      <c r="W177">
        <f t="shared" si="15"/>
        <v>6</v>
      </c>
      <c r="X177">
        <f t="shared" si="16"/>
        <v>-448.69800000000032</v>
      </c>
      <c r="Y177">
        <f t="shared" si="17"/>
        <v>0</v>
      </c>
    </row>
    <row r="178" spans="1:25" x14ac:dyDescent="0.35">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c r="T178">
        <f t="shared" si="12"/>
        <v>783.31</v>
      </c>
      <c r="U178">
        <f t="shared" si="13"/>
        <v>39.165500000000002</v>
      </c>
      <c r="V178">
        <f t="shared" si="14"/>
        <v>744.14449999999999</v>
      </c>
      <c r="W178">
        <f t="shared" si="15"/>
        <v>4</v>
      </c>
      <c r="X178">
        <f t="shared" si="16"/>
        <v>-39.165499999999952</v>
      </c>
      <c r="Y178">
        <f t="shared" si="17"/>
        <v>0</v>
      </c>
    </row>
    <row r="179" spans="1:25" x14ac:dyDescent="0.35">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c r="T179">
        <f t="shared" si="12"/>
        <v>3888.56</v>
      </c>
      <c r="U179">
        <f t="shared" si="13"/>
        <v>0</v>
      </c>
      <c r="V179">
        <f t="shared" si="14"/>
        <v>3888.56</v>
      </c>
      <c r="W179">
        <f t="shared" si="15"/>
        <v>6</v>
      </c>
      <c r="X179">
        <f t="shared" si="16"/>
        <v>0</v>
      </c>
      <c r="Y179">
        <f t="shared" si="17"/>
        <v>0</v>
      </c>
    </row>
    <row r="180" spans="1:25" x14ac:dyDescent="0.35">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c r="T180">
        <f t="shared" si="12"/>
        <v>3330.18</v>
      </c>
      <c r="U180">
        <f t="shared" si="13"/>
        <v>333.01800000000003</v>
      </c>
      <c r="V180">
        <f t="shared" si="14"/>
        <v>2997.1619999999998</v>
      </c>
      <c r="W180">
        <f t="shared" si="15"/>
        <v>9</v>
      </c>
      <c r="X180">
        <f t="shared" si="16"/>
        <v>-333.01800000000003</v>
      </c>
      <c r="Y180">
        <f t="shared" si="17"/>
        <v>0</v>
      </c>
    </row>
    <row r="181" spans="1:25" x14ac:dyDescent="0.35">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c r="T181">
        <f t="shared" si="12"/>
        <v>5474.04</v>
      </c>
      <c r="U181">
        <f t="shared" si="13"/>
        <v>0</v>
      </c>
      <c r="V181">
        <f t="shared" si="14"/>
        <v>5474.04</v>
      </c>
      <c r="W181">
        <f t="shared" si="15"/>
        <v>3</v>
      </c>
      <c r="X181">
        <f t="shared" si="16"/>
        <v>0</v>
      </c>
      <c r="Y181">
        <f t="shared" si="17"/>
        <v>0</v>
      </c>
    </row>
    <row r="182" spans="1:25" x14ac:dyDescent="0.35">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c r="T182">
        <f t="shared" si="12"/>
        <v>1218.72</v>
      </c>
      <c r="U182">
        <f t="shared" si="13"/>
        <v>121.87200000000001</v>
      </c>
      <c r="V182">
        <f t="shared" si="14"/>
        <v>1096.848</v>
      </c>
      <c r="W182">
        <f t="shared" si="15"/>
        <v>9</v>
      </c>
      <c r="X182">
        <f t="shared" si="16"/>
        <v>-121.87200000000007</v>
      </c>
      <c r="Y182">
        <f t="shared" si="17"/>
        <v>0</v>
      </c>
    </row>
    <row r="183" spans="1:25" x14ac:dyDescent="0.35">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c r="T183">
        <f t="shared" si="12"/>
        <v>1510.65</v>
      </c>
      <c r="U183">
        <f t="shared" si="13"/>
        <v>151.06500000000003</v>
      </c>
      <c r="V183">
        <f t="shared" si="14"/>
        <v>1359.585</v>
      </c>
      <c r="W183">
        <f t="shared" si="15"/>
        <v>7</v>
      </c>
      <c r="X183">
        <f t="shared" si="16"/>
        <v>-151.06500000000005</v>
      </c>
      <c r="Y183">
        <f t="shared" si="17"/>
        <v>0</v>
      </c>
    </row>
    <row r="184" spans="1:25" x14ac:dyDescent="0.35">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c r="T184">
        <f t="shared" si="12"/>
        <v>157.79999999999998</v>
      </c>
      <c r="U184">
        <f t="shared" si="13"/>
        <v>0</v>
      </c>
      <c r="V184">
        <f t="shared" si="14"/>
        <v>157.79999999999998</v>
      </c>
      <c r="W184">
        <f t="shared" si="15"/>
        <v>3</v>
      </c>
      <c r="X184">
        <f t="shared" si="16"/>
        <v>0</v>
      </c>
      <c r="Y184">
        <f t="shared" si="17"/>
        <v>0</v>
      </c>
    </row>
    <row r="185" spans="1:25" x14ac:dyDescent="0.35">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c r="T185">
        <f t="shared" si="12"/>
        <v>1166.72</v>
      </c>
      <c r="U185">
        <f t="shared" si="13"/>
        <v>58.336000000000006</v>
      </c>
      <c r="V185">
        <f t="shared" si="14"/>
        <v>1108.384</v>
      </c>
      <c r="W185">
        <f t="shared" si="15"/>
        <v>5</v>
      </c>
      <c r="X185">
        <f t="shared" si="16"/>
        <v>-58.336000000000013</v>
      </c>
      <c r="Y185">
        <f t="shared" si="17"/>
        <v>0</v>
      </c>
    </row>
    <row r="186" spans="1:25" x14ac:dyDescent="0.35">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c r="T186">
        <f t="shared" si="12"/>
        <v>7594.74</v>
      </c>
      <c r="U186">
        <f t="shared" si="13"/>
        <v>379.73700000000002</v>
      </c>
      <c r="V186">
        <f t="shared" si="14"/>
        <v>7215.0029999999997</v>
      </c>
      <c r="W186">
        <f t="shared" si="15"/>
        <v>9</v>
      </c>
      <c r="X186">
        <f t="shared" si="16"/>
        <v>-379.73700000000008</v>
      </c>
      <c r="Y186">
        <f t="shared" si="17"/>
        <v>0</v>
      </c>
    </row>
    <row r="187" spans="1:25" x14ac:dyDescent="0.35">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c r="T187">
        <f t="shared" si="12"/>
        <v>7176.1500000000005</v>
      </c>
      <c r="U187">
        <f t="shared" si="13"/>
        <v>717.61500000000012</v>
      </c>
      <c r="V187">
        <f t="shared" si="14"/>
        <v>6458.5350000000008</v>
      </c>
      <c r="W187">
        <f t="shared" si="15"/>
        <v>3</v>
      </c>
      <c r="X187">
        <f t="shared" si="16"/>
        <v>-717.61499999999978</v>
      </c>
      <c r="Y187">
        <f t="shared" si="17"/>
        <v>0</v>
      </c>
    </row>
    <row r="188" spans="1:25" x14ac:dyDescent="0.35">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c r="T188">
        <f t="shared" si="12"/>
        <v>4515.66</v>
      </c>
      <c r="U188">
        <f t="shared" si="13"/>
        <v>0</v>
      </c>
      <c r="V188">
        <f t="shared" si="14"/>
        <v>4515.66</v>
      </c>
      <c r="W188">
        <f t="shared" si="15"/>
        <v>3</v>
      </c>
      <c r="X188">
        <f t="shared" si="16"/>
        <v>0</v>
      </c>
      <c r="Y188">
        <f t="shared" si="17"/>
        <v>0</v>
      </c>
    </row>
    <row r="189" spans="1:25" x14ac:dyDescent="0.35">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c r="T189">
        <f t="shared" si="12"/>
        <v>1732.71</v>
      </c>
      <c r="U189">
        <f t="shared" si="13"/>
        <v>259.90649999999999</v>
      </c>
      <c r="V189">
        <f t="shared" si="14"/>
        <v>1472.8035</v>
      </c>
      <c r="W189">
        <f t="shared" si="15"/>
        <v>8</v>
      </c>
      <c r="X189">
        <f t="shared" si="16"/>
        <v>-259.90650000000005</v>
      </c>
      <c r="Y189">
        <f t="shared" si="17"/>
        <v>0</v>
      </c>
    </row>
    <row r="190" spans="1:25" x14ac:dyDescent="0.35">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c r="T190">
        <f t="shared" si="12"/>
        <v>1059.06</v>
      </c>
      <c r="U190">
        <f t="shared" si="13"/>
        <v>158.85899999999998</v>
      </c>
      <c r="V190">
        <f t="shared" si="14"/>
        <v>900.20100000000002</v>
      </c>
      <c r="W190">
        <f t="shared" si="15"/>
        <v>9</v>
      </c>
      <c r="X190">
        <f t="shared" si="16"/>
        <v>-158.85899999999992</v>
      </c>
      <c r="Y190">
        <f t="shared" si="17"/>
        <v>0</v>
      </c>
    </row>
    <row r="191" spans="1:25" x14ac:dyDescent="0.35">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c r="T191">
        <f t="shared" si="12"/>
        <v>286.86</v>
      </c>
      <c r="U191">
        <f t="shared" si="13"/>
        <v>0</v>
      </c>
      <c r="V191">
        <f t="shared" si="14"/>
        <v>286.86</v>
      </c>
      <c r="W191">
        <f t="shared" si="15"/>
        <v>7</v>
      </c>
      <c r="X191">
        <f t="shared" si="16"/>
        <v>0</v>
      </c>
      <c r="Y191">
        <f t="shared" si="17"/>
        <v>0</v>
      </c>
    </row>
    <row r="192" spans="1:25" x14ac:dyDescent="0.35">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c r="T192">
        <f t="shared" si="12"/>
        <v>6462</v>
      </c>
      <c r="U192">
        <f t="shared" si="13"/>
        <v>323.10000000000002</v>
      </c>
      <c r="V192">
        <f t="shared" si="14"/>
        <v>6138.9</v>
      </c>
      <c r="W192">
        <f t="shared" si="15"/>
        <v>9</v>
      </c>
      <c r="X192">
        <f t="shared" si="16"/>
        <v>-323.10000000000036</v>
      </c>
      <c r="Y192">
        <f t="shared" si="17"/>
        <v>0</v>
      </c>
    </row>
    <row r="193" spans="1:25" x14ac:dyDescent="0.35">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c r="T193">
        <f t="shared" si="12"/>
        <v>435.85</v>
      </c>
      <c r="U193">
        <f t="shared" si="13"/>
        <v>0</v>
      </c>
      <c r="V193">
        <f t="shared" si="14"/>
        <v>435.85</v>
      </c>
      <c r="W193">
        <f t="shared" si="15"/>
        <v>2</v>
      </c>
      <c r="X193">
        <f t="shared" si="16"/>
        <v>0</v>
      </c>
      <c r="Y193">
        <f t="shared" si="17"/>
        <v>0</v>
      </c>
    </row>
    <row r="194" spans="1:25" x14ac:dyDescent="0.35">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c r="T194">
        <f t="shared" si="12"/>
        <v>3488.24</v>
      </c>
      <c r="U194">
        <f t="shared" si="13"/>
        <v>348.82400000000001</v>
      </c>
      <c r="V194">
        <f t="shared" si="14"/>
        <v>3139.4159999999997</v>
      </c>
      <c r="W194">
        <f t="shared" si="15"/>
        <v>4</v>
      </c>
      <c r="X194">
        <f t="shared" si="16"/>
        <v>-348.82400000000007</v>
      </c>
      <c r="Y194">
        <f t="shared" si="17"/>
        <v>0</v>
      </c>
    </row>
    <row r="195" spans="1:25" x14ac:dyDescent="0.35">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c r="T195">
        <f t="shared" ref="T195:T258" si="18">D195*E195</f>
        <v>857.1</v>
      </c>
      <c r="U195">
        <f t="shared" ref="U195:U258" si="19">T195*H195</f>
        <v>128.565</v>
      </c>
      <c r="V195">
        <f t="shared" ref="V195:V258" si="20">T195-U195</f>
        <v>728.53500000000008</v>
      </c>
      <c r="W195">
        <f t="shared" ref="W195:W258" si="21">R195-Q195</f>
        <v>9</v>
      </c>
      <c r="X195">
        <f t="shared" ref="X195:X258" si="22">V195-(E195*D195)</f>
        <v>-128.56499999999994</v>
      </c>
      <c r="Y195">
        <f t="shared" ref="Y195:Y258" si="23">IF(M195 = "Yes", -V195,0)</f>
        <v>0</v>
      </c>
    </row>
    <row r="196" spans="1:25" x14ac:dyDescent="0.35">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c r="T196">
        <f t="shared" si="18"/>
        <v>2235.2400000000002</v>
      </c>
      <c r="U196">
        <f t="shared" si="19"/>
        <v>335.286</v>
      </c>
      <c r="V196">
        <f t="shared" si="20"/>
        <v>1899.9540000000002</v>
      </c>
      <c r="W196">
        <f t="shared" si="21"/>
        <v>9</v>
      </c>
      <c r="X196">
        <f t="shared" si="22"/>
        <v>-335.28600000000006</v>
      </c>
      <c r="Y196">
        <f t="shared" si="23"/>
        <v>0</v>
      </c>
    </row>
    <row r="197" spans="1:25" x14ac:dyDescent="0.35">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c r="T197">
        <f t="shared" si="18"/>
        <v>1289.4000000000001</v>
      </c>
      <c r="U197">
        <f t="shared" si="19"/>
        <v>128.94000000000003</v>
      </c>
      <c r="V197">
        <f t="shared" si="20"/>
        <v>1160.46</v>
      </c>
      <c r="W197">
        <f t="shared" si="21"/>
        <v>6</v>
      </c>
      <c r="X197">
        <f t="shared" si="22"/>
        <v>-128.94000000000005</v>
      </c>
      <c r="Y197">
        <f t="shared" si="23"/>
        <v>0</v>
      </c>
    </row>
    <row r="198" spans="1:25" x14ac:dyDescent="0.35">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c r="T198">
        <f t="shared" si="18"/>
        <v>3290.08</v>
      </c>
      <c r="U198">
        <f t="shared" si="19"/>
        <v>329.00800000000004</v>
      </c>
      <c r="V198">
        <f t="shared" si="20"/>
        <v>2961.0720000000001</v>
      </c>
      <c r="W198">
        <f t="shared" si="21"/>
        <v>4</v>
      </c>
      <c r="X198">
        <f t="shared" si="22"/>
        <v>-329.00799999999981</v>
      </c>
      <c r="Y198">
        <f t="shared" si="23"/>
        <v>0</v>
      </c>
    </row>
    <row r="199" spans="1:25" x14ac:dyDescent="0.35">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c r="T199">
        <f t="shared" si="18"/>
        <v>1736.7</v>
      </c>
      <c r="U199">
        <f t="shared" si="19"/>
        <v>0</v>
      </c>
      <c r="V199">
        <f t="shared" si="20"/>
        <v>1736.7</v>
      </c>
      <c r="W199">
        <f t="shared" si="21"/>
        <v>4</v>
      </c>
      <c r="X199">
        <f t="shared" si="22"/>
        <v>0</v>
      </c>
      <c r="Y199">
        <f t="shared" si="23"/>
        <v>0</v>
      </c>
    </row>
    <row r="200" spans="1:25" x14ac:dyDescent="0.35">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c r="T200">
        <f t="shared" si="18"/>
        <v>1459.56</v>
      </c>
      <c r="U200">
        <f t="shared" si="19"/>
        <v>145.95599999999999</v>
      </c>
      <c r="V200">
        <f t="shared" si="20"/>
        <v>1313.604</v>
      </c>
      <c r="W200">
        <f t="shared" si="21"/>
        <v>9</v>
      </c>
      <c r="X200">
        <f t="shared" si="22"/>
        <v>-145.9559999999999</v>
      </c>
      <c r="Y200">
        <f t="shared" si="23"/>
        <v>0</v>
      </c>
    </row>
    <row r="201" spans="1:25" x14ac:dyDescent="0.35">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c r="T201">
        <f t="shared" si="18"/>
        <v>7470.72</v>
      </c>
      <c r="U201">
        <f t="shared" si="19"/>
        <v>747.07200000000012</v>
      </c>
      <c r="V201">
        <f t="shared" si="20"/>
        <v>6723.6480000000001</v>
      </c>
      <c r="W201">
        <f t="shared" si="21"/>
        <v>5</v>
      </c>
      <c r="X201">
        <f t="shared" si="22"/>
        <v>-747.07200000000012</v>
      </c>
      <c r="Y201">
        <f t="shared" si="23"/>
        <v>0</v>
      </c>
    </row>
    <row r="202" spans="1:25" x14ac:dyDescent="0.35">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c r="T202">
        <f t="shared" si="18"/>
        <v>3142.22</v>
      </c>
      <c r="U202">
        <f t="shared" si="19"/>
        <v>471.33299999999997</v>
      </c>
      <c r="V202">
        <f t="shared" si="20"/>
        <v>2670.8869999999997</v>
      </c>
      <c r="W202">
        <f t="shared" si="21"/>
        <v>6</v>
      </c>
      <c r="X202">
        <f t="shared" si="22"/>
        <v>-471.33300000000008</v>
      </c>
      <c r="Y202">
        <f t="shared" si="23"/>
        <v>0</v>
      </c>
    </row>
    <row r="203" spans="1:25" x14ac:dyDescent="0.35">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c r="T203">
        <f t="shared" si="18"/>
        <v>234.94</v>
      </c>
      <c r="U203">
        <f t="shared" si="19"/>
        <v>0</v>
      </c>
      <c r="V203">
        <f t="shared" si="20"/>
        <v>234.94</v>
      </c>
      <c r="W203">
        <f t="shared" si="21"/>
        <v>7</v>
      </c>
      <c r="X203">
        <f t="shared" si="22"/>
        <v>0</v>
      </c>
      <c r="Y203">
        <f t="shared" si="23"/>
        <v>0</v>
      </c>
    </row>
    <row r="204" spans="1:25" x14ac:dyDescent="0.35">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c r="T204">
        <f t="shared" si="18"/>
        <v>4156.1100000000006</v>
      </c>
      <c r="U204">
        <f t="shared" si="19"/>
        <v>623.41650000000004</v>
      </c>
      <c r="V204">
        <f t="shared" si="20"/>
        <v>3532.6935000000003</v>
      </c>
      <c r="W204">
        <f t="shared" si="21"/>
        <v>4</v>
      </c>
      <c r="X204">
        <f t="shared" si="22"/>
        <v>-623.41650000000027</v>
      </c>
      <c r="Y204">
        <f t="shared" si="23"/>
        <v>0</v>
      </c>
    </row>
    <row r="205" spans="1:25" x14ac:dyDescent="0.35">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c r="T205">
        <f t="shared" si="18"/>
        <v>3965.68</v>
      </c>
      <c r="U205">
        <f t="shared" si="19"/>
        <v>198.28399999999999</v>
      </c>
      <c r="V205">
        <f t="shared" si="20"/>
        <v>3767.3959999999997</v>
      </c>
      <c r="W205">
        <f t="shared" si="21"/>
        <v>4</v>
      </c>
      <c r="X205">
        <f t="shared" si="22"/>
        <v>-198.28400000000011</v>
      </c>
      <c r="Y205">
        <f t="shared" si="23"/>
        <v>0</v>
      </c>
    </row>
    <row r="206" spans="1:25" x14ac:dyDescent="0.35">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c r="T206">
        <f t="shared" si="18"/>
        <v>4450.08</v>
      </c>
      <c r="U206">
        <f t="shared" si="19"/>
        <v>667.51199999999994</v>
      </c>
      <c r="V206">
        <f t="shared" si="20"/>
        <v>3782.5680000000002</v>
      </c>
      <c r="W206">
        <f t="shared" si="21"/>
        <v>5</v>
      </c>
      <c r="X206">
        <f t="shared" si="22"/>
        <v>-667.51199999999972</v>
      </c>
      <c r="Y206">
        <f t="shared" si="23"/>
        <v>0</v>
      </c>
    </row>
    <row r="207" spans="1:25" x14ac:dyDescent="0.35">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c r="T207">
        <f t="shared" si="18"/>
        <v>1160.3800000000001</v>
      </c>
      <c r="U207">
        <f t="shared" si="19"/>
        <v>58.019000000000005</v>
      </c>
      <c r="V207">
        <f t="shared" si="20"/>
        <v>1102.3610000000001</v>
      </c>
      <c r="W207">
        <f t="shared" si="21"/>
        <v>6</v>
      </c>
      <c r="X207">
        <f t="shared" si="22"/>
        <v>-58.019000000000005</v>
      </c>
      <c r="Y207">
        <f t="shared" si="23"/>
        <v>0</v>
      </c>
    </row>
    <row r="208" spans="1:25" x14ac:dyDescent="0.35">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c r="T208">
        <f t="shared" si="18"/>
        <v>4291.4399999999996</v>
      </c>
      <c r="U208">
        <f t="shared" si="19"/>
        <v>0</v>
      </c>
      <c r="V208">
        <f t="shared" si="20"/>
        <v>4291.4399999999996</v>
      </c>
      <c r="W208">
        <f t="shared" si="21"/>
        <v>10</v>
      </c>
      <c r="X208">
        <f t="shared" si="22"/>
        <v>0</v>
      </c>
      <c r="Y208">
        <f t="shared" si="23"/>
        <v>0</v>
      </c>
    </row>
    <row r="209" spans="1:25" x14ac:dyDescent="0.35">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c r="T209">
        <f t="shared" si="18"/>
        <v>94.33</v>
      </c>
      <c r="U209">
        <f t="shared" si="19"/>
        <v>0</v>
      </c>
      <c r="V209">
        <f t="shared" si="20"/>
        <v>94.33</v>
      </c>
      <c r="W209">
        <f t="shared" si="21"/>
        <v>10</v>
      </c>
      <c r="X209">
        <f t="shared" si="22"/>
        <v>0</v>
      </c>
      <c r="Y209">
        <f t="shared" si="23"/>
        <v>0</v>
      </c>
    </row>
    <row r="210" spans="1:25" x14ac:dyDescent="0.35">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c r="T210">
        <f t="shared" si="18"/>
        <v>7839.04</v>
      </c>
      <c r="U210">
        <f t="shared" si="19"/>
        <v>783.904</v>
      </c>
      <c r="V210">
        <f t="shared" si="20"/>
        <v>7055.1360000000004</v>
      </c>
      <c r="W210">
        <f t="shared" si="21"/>
        <v>10</v>
      </c>
      <c r="X210">
        <f t="shared" si="22"/>
        <v>-783.90399999999954</v>
      </c>
      <c r="Y210">
        <f t="shared" si="23"/>
        <v>0</v>
      </c>
    </row>
    <row r="211" spans="1:25" x14ac:dyDescent="0.35">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c r="T211">
        <f t="shared" si="18"/>
        <v>2206.84</v>
      </c>
      <c r="U211">
        <f t="shared" si="19"/>
        <v>110.34200000000001</v>
      </c>
      <c r="V211">
        <f t="shared" si="20"/>
        <v>2096.498</v>
      </c>
      <c r="W211">
        <f t="shared" si="21"/>
        <v>3</v>
      </c>
      <c r="X211">
        <f t="shared" si="22"/>
        <v>-110.3420000000001</v>
      </c>
      <c r="Y211">
        <f t="shared" si="23"/>
        <v>0</v>
      </c>
    </row>
    <row r="212" spans="1:25" x14ac:dyDescent="0.35">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c r="T212">
        <f t="shared" si="18"/>
        <v>10124.69</v>
      </c>
      <c r="U212">
        <f t="shared" si="19"/>
        <v>1518.7035000000001</v>
      </c>
      <c r="V212">
        <f t="shared" si="20"/>
        <v>8605.9865000000009</v>
      </c>
      <c r="W212">
        <f t="shared" si="21"/>
        <v>9</v>
      </c>
      <c r="X212">
        <f t="shared" si="22"/>
        <v>-1518.7034999999996</v>
      </c>
      <c r="Y212">
        <f t="shared" si="23"/>
        <v>0</v>
      </c>
    </row>
    <row r="213" spans="1:25" x14ac:dyDescent="0.35">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c r="T213">
        <f t="shared" si="18"/>
        <v>180.12</v>
      </c>
      <c r="U213">
        <f t="shared" si="19"/>
        <v>18.012</v>
      </c>
      <c r="V213">
        <f t="shared" si="20"/>
        <v>162.108</v>
      </c>
      <c r="W213">
        <f t="shared" si="21"/>
        <v>9</v>
      </c>
      <c r="X213">
        <f t="shared" si="22"/>
        <v>-18.012</v>
      </c>
      <c r="Y213">
        <f t="shared" si="23"/>
        <v>0</v>
      </c>
    </row>
    <row r="214" spans="1:25" x14ac:dyDescent="0.35">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c r="T214">
        <f t="shared" si="18"/>
        <v>3618</v>
      </c>
      <c r="U214">
        <f t="shared" si="19"/>
        <v>542.69999999999993</v>
      </c>
      <c r="V214">
        <f t="shared" si="20"/>
        <v>3075.3</v>
      </c>
      <c r="W214">
        <f t="shared" si="21"/>
        <v>4</v>
      </c>
      <c r="X214">
        <f t="shared" si="22"/>
        <v>-542.69999999999982</v>
      </c>
      <c r="Y214">
        <f t="shared" si="23"/>
        <v>0</v>
      </c>
    </row>
    <row r="215" spans="1:25" x14ac:dyDescent="0.35">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c r="T215">
        <f t="shared" si="18"/>
        <v>5471</v>
      </c>
      <c r="U215">
        <f t="shared" si="19"/>
        <v>820.65</v>
      </c>
      <c r="V215">
        <f t="shared" si="20"/>
        <v>4650.3500000000004</v>
      </c>
      <c r="W215">
        <f t="shared" si="21"/>
        <v>6</v>
      </c>
      <c r="X215">
        <f t="shared" si="22"/>
        <v>-820.64999999999964</v>
      </c>
      <c r="Y215">
        <f t="shared" si="23"/>
        <v>0</v>
      </c>
    </row>
    <row r="216" spans="1:25" x14ac:dyDescent="0.35">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c r="T216">
        <f t="shared" si="18"/>
        <v>1122.3600000000001</v>
      </c>
      <c r="U216">
        <f t="shared" si="19"/>
        <v>112.23600000000002</v>
      </c>
      <c r="V216">
        <f t="shared" si="20"/>
        <v>1010.1240000000001</v>
      </c>
      <c r="W216">
        <f t="shared" si="21"/>
        <v>8</v>
      </c>
      <c r="X216">
        <f t="shared" si="22"/>
        <v>-112.23599999999999</v>
      </c>
      <c r="Y216">
        <f t="shared" si="23"/>
        <v>0</v>
      </c>
    </row>
    <row r="217" spans="1:25" x14ac:dyDescent="0.35">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c r="T217">
        <f t="shared" si="18"/>
        <v>9000.32</v>
      </c>
      <c r="U217">
        <f t="shared" si="19"/>
        <v>0</v>
      </c>
      <c r="V217">
        <f t="shared" si="20"/>
        <v>9000.32</v>
      </c>
      <c r="W217">
        <f t="shared" si="21"/>
        <v>4</v>
      </c>
      <c r="X217">
        <f t="shared" si="22"/>
        <v>0</v>
      </c>
      <c r="Y217">
        <f t="shared" si="23"/>
        <v>0</v>
      </c>
    </row>
    <row r="218" spans="1:25" x14ac:dyDescent="0.35">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c r="T218">
        <f t="shared" si="18"/>
        <v>340.64</v>
      </c>
      <c r="U218">
        <f t="shared" si="19"/>
        <v>34.064</v>
      </c>
      <c r="V218">
        <f t="shared" si="20"/>
        <v>306.57599999999996</v>
      </c>
      <c r="W218">
        <f t="shared" si="21"/>
        <v>7</v>
      </c>
      <c r="X218">
        <f t="shared" si="22"/>
        <v>-34.064000000000021</v>
      </c>
      <c r="Y218">
        <f t="shared" si="23"/>
        <v>0</v>
      </c>
    </row>
    <row r="219" spans="1:25" x14ac:dyDescent="0.35">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c r="T219">
        <f t="shared" si="18"/>
        <v>5418.12</v>
      </c>
      <c r="U219">
        <f t="shared" si="19"/>
        <v>812.71799999999996</v>
      </c>
      <c r="V219">
        <f t="shared" si="20"/>
        <v>4605.402</v>
      </c>
      <c r="W219">
        <f t="shared" si="21"/>
        <v>8</v>
      </c>
      <c r="X219">
        <f t="shared" si="22"/>
        <v>-812.71799999999985</v>
      </c>
      <c r="Y219">
        <f t="shared" si="23"/>
        <v>0</v>
      </c>
    </row>
    <row r="220" spans="1:25" x14ac:dyDescent="0.35">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c r="T220">
        <f t="shared" si="18"/>
        <v>259.87</v>
      </c>
      <c r="U220">
        <f t="shared" si="19"/>
        <v>38.980499999999999</v>
      </c>
      <c r="V220">
        <f t="shared" si="20"/>
        <v>220.8895</v>
      </c>
      <c r="W220">
        <f t="shared" si="21"/>
        <v>9</v>
      </c>
      <c r="X220">
        <f t="shared" si="22"/>
        <v>-38.980500000000006</v>
      </c>
      <c r="Y220">
        <f t="shared" si="23"/>
        <v>0</v>
      </c>
    </row>
    <row r="221" spans="1:25" x14ac:dyDescent="0.35">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c r="T221">
        <f t="shared" si="18"/>
        <v>5365</v>
      </c>
      <c r="U221">
        <f t="shared" si="19"/>
        <v>268.25</v>
      </c>
      <c r="V221">
        <f t="shared" si="20"/>
        <v>5096.75</v>
      </c>
      <c r="W221">
        <f t="shared" si="21"/>
        <v>7</v>
      </c>
      <c r="X221">
        <f t="shared" si="22"/>
        <v>-268.25</v>
      </c>
      <c r="Y221">
        <f t="shared" si="23"/>
        <v>0</v>
      </c>
    </row>
    <row r="222" spans="1:25" x14ac:dyDescent="0.35">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c r="T222">
        <f t="shared" si="18"/>
        <v>2661.3</v>
      </c>
      <c r="U222">
        <f t="shared" si="19"/>
        <v>0</v>
      </c>
      <c r="V222">
        <f t="shared" si="20"/>
        <v>2661.3</v>
      </c>
      <c r="W222">
        <f t="shared" si="21"/>
        <v>2</v>
      </c>
      <c r="X222">
        <f t="shared" si="22"/>
        <v>0</v>
      </c>
      <c r="Y222">
        <f t="shared" si="23"/>
        <v>0</v>
      </c>
    </row>
    <row r="223" spans="1:25" x14ac:dyDescent="0.35">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c r="T223">
        <f t="shared" si="18"/>
        <v>8875.08</v>
      </c>
      <c r="U223">
        <f t="shared" si="19"/>
        <v>443.75400000000002</v>
      </c>
      <c r="V223">
        <f t="shared" si="20"/>
        <v>8431.3259999999991</v>
      </c>
      <c r="W223">
        <f t="shared" si="21"/>
        <v>8</v>
      </c>
      <c r="X223">
        <f t="shared" si="22"/>
        <v>-443.75400000000081</v>
      </c>
      <c r="Y223">
        <f t="shared" si="23"/>
        <v>0</v>
      </c>
    </row>
    <row r="224" spans="1:25" x14ac:dyDescent="0.35">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c r="T224">
        <f t="shared" si="18"/>
        <v>147.28</v>
      </c>
      <c r="U224">
        <f t="shared" si="19"/>
        <v>7.3640000000000008</v>
      </c>
      <c r="V224">
        <f t="shared" si="20"/>
        <v>139.916</v>
      </c>
      <c r="W224">
        <f t="shared" si="21"/>
        <v>8</v>
      </c>
      <c r="X224">
        <f t="shared" si="22"/>
        <v>-7.3640000000000043</v>
      </c>
      <c r="Y224">
        <f t="shared" si="23"/>
        <v>0</v>
      </c>
    </row>
    <row r="225" spans="1:25" x14ac:dyDescent="0.35">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c r="T225">
        <f t="shared" si="18"/>
        <v>4961.3999999999996</v>
      </c>
      <c r="U225">
        <f t="shared" si="19"/>
        <v>744.20999999999992</v>
      </c>
      <c r="V225">
        <f t="shared" si="20"/>
        <v>4217.1899999999996</v>
      </c>
      <c r="W225">
        <f t="shared" si="21"/>
        <v>8</v>
      </c>
      <c r="X225">
        <f t="shared" si="22"/>
        <v>-744.21</v>
      </c>
      <c r="Y225">
        <f t="shared" si="23"/>
        <v>0</v>
      </c>
    </row>
    <row r="226" spans="1:25" x14ac:dyDescent="0.35">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c r="T226">
        <f t="shared" si="18"/>
        <v>8478.75</v>
      </c>
      <c r="U226">
        <f t="shared" si="19"/>
        <v>847.875</v>
      </c>
      <c r="V226">
        <f t="shared" si="20"/>
        <v>7630.875</v>
      </c>
      <c r="W226">
        <f t="shared" si="21"/>
        <v>6</v>
      </c>
      <c r="X226">
        <f t="shared" si="22"/>
        <v>-847.875</v>
      </c>
      <c r="Y226">
        <f t="shared" si="23"/>
        <v>0</v>
      </c>
    </row>
    <row r="227" spans="1:25" x14ac:dyDescent="0.35">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c r="T227">
        <f t="shared" si="18"/>
        <v>579.39</v>
      </c>
      <c r="U227">
        <f t="shared" si="19"/>
        <v>86.908499999999989</v>
      </c>
      <c r="V227">
        <f t="shared" si="20"/>
        <v>492.48149999999998</v>
      </c>
      <c r="W227">
        <f t="shared" si="21"/>
        <v>4</v>
      </c>
      <c r="X227">
        <f t="shared" si="22"/>
        <v>-86.908500000000004</v>
      </c>
      <c r="Y227">
        <f t="shared" si="23"/>
        <v>0</v>
      </c>
    </row>
    <row r="228" spans="1:25" x14ac:dyDescent="0.35">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c r="T228">
        <f t="shared" si="18"/>
        <v>5777.96</v>
      </c>
      <c r="U228">
        <f t="shared" si="19"/>
        <v>0</v>
      </c>
      <c r="V228">
        <f t="shared" si="20"/>
        <v>5777.96</v>
      </c>
      <c r="W228">
        <f t="shared" si="21"/>
        <v>3</v>
      </c>
      <c r="X228">
        <f t="shared" si="22"/>
        <v>0</v>
      </c>
      <c r="Y228">
        <f t="shared" si="23"/>
        <v>0</v>
      </c>
    </row>
    <row r="229" spans="1:25" x14ac:dyDescent="0.35">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c r="T229">
        <f t="shared" si="18"/>
        <v>6922.08</v>
      </c>
      <c r="U229">
        <f t="shared" si="19"/>
        <v>1038.3119999999999</v>
      </c>
      <c r="V229">
        <f t="shared" si="20"/>
        <v>5883.768</v>
      </c>
      <c r="W229">
        <f t="shared" si="21"/>
        <v>3</v>
      </c>
      <c r="X229">
        <f t="shared" si="22"/>
        <v>-1038.3119999999999</v>
      </c>
      <c r="Y229">
        <f t="shared" si="23"/>
        <v>0</v>
      </c>
    </row>
    <row r="230" spans="1:25" x14ac:dyDescent="0.35">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c r="T230">
        <f t="shared" si="18"/>
        <v>215.73</v>
      </c>
      <c r="U230">
        <f t="shared" si="19"/>
        <v>0</v>
      </c>
      <c r="V230">
        <f t="shared" si="20"/>
        <v>215.73</v>
      </c>
      <c r="W230">
        <f t="shared" si="21"/>
        <v>10</v>
      </c>
      <c r="X230">
        <f t="shared" si="22"/>
        <v>0</v>
      </c>
      <c r="Y230">
        <f t="shared" si="23"/>
        <v>0</v>
      </c>
    </row>
    <row r="231" spans="1:25" x14ac:dyDescent="0.35">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c r="T231">
        <f t="shared" si="18"/>
        <v>11526</v>
      </c>
      <c r="U231">
        <f t="shared" si="19"/>
        <v>576.30000000000007</v>
      </c>
      <c r="V231">
        <f t="shared" si="20"/>
        <v>10949.7</v>
      </c>
      <c r="W231">
        <f t="shared" si="21"/>
        <v>4</v>
      </c>
      <c r="X231">
        <f t="shared" si="22"/>
        <v>-576.29999999999927</v>
      </c>
      <c r="Y231">
        <f t="shared" si="23"/>
        <v>0</v>
      </c>
    </row>
    <row r="232" spans="1:25" x14ac:dyDescent="0.35">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c r="T232">
        <f t="shared" si="18"/>
        <v>844.19999999999993</v>
      </c>
      <c r="U232">
        <f t="shared" si="19"/>
        <v>0</v>
      </c>
      <c r="V232">
        <f t="shared" si="20"/>
        <v>844.19999999999993</v>
      </c>
      <c r="W232">
        <f t="shared" si="21"/>
        <v>8</v>
      </c>
      <c r="X232">
        <f t="shared" si="22"/>
        <v>0</v>
      </c>
      <c r="Y232">
        <f t="shared" si="23"/>
        <v>0</v>
      </c>
    </row>
    <row r="233" spans="1:25" x14ac:dyDescent="0.35">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c r="T233">
        <f t="shared" si="18"/>
        <v>769.52</v>
      </c>
      <c r="U233">
        <f t="shared" si="19"/>
        <v>38.475999999999999</v>
      </c>
      <c r="V233">
        <f t="shared" si="20"/>
        <v>731.04399999999998</v>
      </c>
      <c r="W233">
        <f t="shared" si="21"/>
        <v>3</v>
      </c>
      <c r="X233">
        <f t="shared" si="22"/>
        <v>-38.475999999999999</v>
      </c>
      <c r="Y233">
        <f t="shared" si="23"/>
        <v>0</v>
      </c>
    </row>
    <row r="234" spans="1:25" x14ac:dyDescent="0.35">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c r="T234">
        <f t="shared" si="18"/>
        <v>6596.38</v>
      </c>
      <c r="U234">
        <f t="shared" si="19"/>
        <v>329.81900000000002</v>
      </c>
      <c r="V234">
        <f t="shared" si="20"/>
        <v>6266.5609999999997</v>
      </c>
      <c r="W234">
        <f t="shared" si="21"/>
        <v>3</v>
      </c>
      <c r="X234">
        <f t="shared" si="22"/>
        <v>-329.81900000000041</v>
      </c>
      <c r="Y234">
        <f t="shared" si="23"/>
        <v>0</v>
      </c>
    </row>
    <row r="235" spans="1:25" x14ac:dyDescent="0.35">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c r="T235">
        <f t="shared" si="18"/>
        <v>286.60000000000002</v>
      </c>
      <c r="U235">
        <f t="shared" si="19"/>
        <v>28.660000000000004</v>
      </c>
      <c r="V235">
        <f t="shared" si="20"/>
        <v>257.94</v>
      </c>
      <c r="W235">
        <f t="shared" si="21"/>
        <v>7</v>
      </c>
      <c r="X235">
        <f t="shared" si="22"/>
        <v>-28.660000000000025</v>
      </c>
      <c r="Y235">
        <f t="shared" si="23"/>
        <v>0</v>
      </c>
    </row>
    <row r="236" spans="1:25" x14ac:dyDescent="0.35">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c r="T236">
        <f t="shared" si="18"/>
        <v>8992.98</v>
      </c>
      <c r="U236">
        <f t="shared" si="19"/>
        <v>1348.9469999999999</v>
      </c>
      <c r="V236">
        <f t="shared" si="20"/>
        <v>7644.0329999999994</v>
      </c>
      <c r="W236">
        <f t="shared" si="21"/>
        <v>5</v>
      </c>
      <c r="X236">
        <f t="shared" si="22"/>
        <v>-1348.9470000000001</v>
      </c>
      <c r="Y236">
        <f t="shared" si="23"/>
        <v>0</v>
      </c>
    </row>
    <row r="237" spans="1:25" x14ac:dyDescent="0.35">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c r="T237">
        <f t="shared" si="18"/>
        <v>228.61999999999998</v>
      </c>
      <c r="U237">
        <f t="shared" si="19"/>
        <v>22.861999999999998</v>
      </c>
      <c r="V237">
        <f t="shared" si="20"/>
        <v>205.75799999999998</v>
      </c>
      <c r="W237">
        <f t="shared" si="21"/>
        <v>5</v>
      </c>
      <c r="X237">
        <f t="shared" si="22"/>
        <v>-22.861999999999995</v>
      </c>
      <c r="Y237">
        <f t="shared" si="23"/>
        <v>0</v>
      </c>
    </row>
    <row r="238" spans="1:25" x14ac:dyDescent="0.35">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c r="T238">
        <f t="shared" si="18"/>
        <v>8170.54</v>
      </c>
      <c r="U238">
        <f t="shared" si="19"/>
        <v>1225.5809999999999</v>
      </c>
      <c r="V238">
        <f t="shared" si="20"/>
        <v>6944.9589999999998</v>
      </c>
      <c r="W238">
        <f t="shared" si="21"/>
        <v>8</v>
      </c>
      <c r="X238">
        <f t="shared" si="22"/>
        <v>-1225.5810000000001</v>
      </c>
      <c r="Y238">
        <f t="shared" si="23"/>
        <v>0</v>
      </c>
    </row>
    <row r="239" spans="1:25" x14ac:dyDescent="0.35">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c r="T239">
        <f t="shared" si="18"/>
        <v>2779.2000000000003</v>
      </c>
      <c r="U239">
        <f t="shared" si="19"/>
        <v>138.96</v>
      </c>
      <c r="V239">
        <f t="shared" si="20"/>
        <v>2640.2400000000002</v>
      </c>
      <c r="W239">
        <f t="shared" si="21"/>
        <v>7</v>
      </c>
      <c r="X239">
        <f t="shared" si="22"/>
        <v>-138.96000000000004</v>
      </c>
      <c r="Y239">
        <f t="shared" si="23"/>
        <v>0</v>
      </c>
    </row>
    <row r="240" spans="1:25" x14ac:dyDescent="0.35">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c r="T240">
        <f t="shared" si="18"/>
        <v>3132.54</v>
      </c>
      <c r="U240">
        <f t="shared" si="19"/>
        <v>313.25400000000002</v>
      </c>
      <c r="V240">
        <f t="shared" si="20"/>
        <v>2819.2860000000001</v>
      </c>
      <c r="W240">
        <f t="shared" si="21"/>
        <v>5</v>
      </c>
      <c r="X240">
        <f t="shared" si="22"/>
        <v>-313.25399999999991</v>
      </c>
      <c r="Y240">
        <f t="shared" si="23"/>
        <v>0</v>
      </c>
    </row>
    <row r="241" spans="1:25" x14ac:dyDescent="0.35">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c r="T241">
        <f t="shared" si="18"/>
        <v>3146.55</v>
      </c>
      <c r="U241">
        <f t="shared" si="19"/>
        <v>314.65500000000003</v>
      </c>
      <c r="V241">
        <f t="shared" si="20"/>
        <v>2831.895</v>
      </c>
      <c r="W241">
        <f t="shared" si="21"/>
        <v>5</v>
      </c>
      <c r="X241">
        <f t="shared" si="22"/>
        <v>-314.6550000000002</v>
      </c>
      <c r="Y241">
        <f t="shared" si="23"/>
        <v>0</v>
      </c>
    </row>
    <row r="242" spans="1:25" x14ac:dyDescent="0.35">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c r="T242">
        <f t="shared" si="18"/>
        <v>651.67999999999995</v>
      </c>
      <c r="U242">
        <f t="shared" si="19"/>
        <v>0</v>
      </c>
      <c r="V242">
        <f t="shared" si="20"/>
        <v>651.67999999999995</v>
      </c>
      <c r="W242">
        <f t="shared" si="21"/>
        <v>4</v>
      </c>
      <c r="X242">
        <f t="shared" si="22"/>
        <v>0</v>
      </c>
      <c r="Y242">
        <f t="shared" si="23"/>
        <v>0</v>
      </c>
    </row>
    <row r="243" spans="1:25" x14ac:dyDescent="0.35">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c r="T243">
        <f t="shared" si="18"/>
        <v>5150.42</v>
      </c>
      <c r="U243">
        <f t="shared" si="19"/>
        <v>0</v>
      </c>
      <c r="V243">
        <f t="shared" si="20"/>
        <v>5150.42</v>
      </c>
      <c r="W243">
        <f t="shared" si="21"/>
        <v>10</v>
      </c>
      <c r="X243">
        <f t="shared" si="22"/>
        <v>0</v>
      </c>
      <c r="Y243">
        <f t="shared" si="23"/>
        <v>0</v>
      </c>
    </row>
    <row r="244" spans="1:25" x14ac:dyDescent="0.35">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c r="T244">
        <f t="shared" si="18"/>
        <v>411.54</v>
      </c>
      <c r="U244">
        <f t="shared" si="19"/>
        <v>41.154000000000003</v>
      </c>
      <c r="V244">
        <f t="shared" si="20"/>
        <v>370.38600000000002</v>
      </c>
      <c r="W244">
        <f t="shared" si="21"/>
        <v>2</v>
      </c>
      <c r="X244">
        <f t="shared" si="22"/>
        <v>-41.153999999999996</v>
      </c>
      <c r="Y244">
        <f t="shared" si="23"/>
        <v>0</v>
      </c>
    </row>
    <row r="245" spans="1:25" x14ac:dyDescent="0.35">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c r="T245">
        <f t="shared" si="18"/>
        <v>1744.6</v>
      </c>
      <c r="U245">
        <f t="shared" si="19"/>
        <v>87.23</v>
      </c>
      <c r="V245">
        <f t="shared" si="20"/>
        <v>1657.37</v>
      </c>
      <c r="W245">
        <f t="shared" si="21"/>
        <v>8</v>
      </c>
      <c r="X245">
        <f t="shared" si="22"/>
        <v>-87.230000000000018</v>
      </c>
      <c r="Y245">
        <f t="shared" si="23"/>
        <v>0</v>
      </c>
    </row>
    <row r="246" spans="1:25" x14ac:dyDescent="0.35">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c r="T246">
        <f t="shared" si="18"/>
        <v>3512.3</v>
      </c>
      <c r="U246">
        <f t="shared" si="19"/>
        <v>526.84500000000003</v>
      </c>
      <c r="V246">
        <f t="shared" si="20"/>
        <v>2985.4549999999999</v>
      </c>
      <c r="W246">
        <f t="shared" si="21"/>
        <v>6</v>
      </c>
      <c r="X246">
        <f t="shared" si="22"/>
        <v>-526.84500000000025</v>
      </c>
      <c r="Y246">
        <f t="shared" si="23"/>
        <v>0</v>
      </c>
    </row>
    <row r="247" spans="1:25" x14ac:dyDescent="0.35">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c r="T247">
        <f t="shared" si="18"/>
        <v>7715.96</v>
      </c>
      <c r="U247">
        <f t="shared" si="19"/>
        <v>771.596</v>
      </c>
      <c r="V247">
        <f t="shared" si="20"/>
        <v>6944.3639999999996</v>
      </c>
      <c r="W247">
        <f t="shared" si="21"/>
        <v>9</v>
      </c>
      <c r="X247">
        <f t="shared" si="22"/>
        <v>-771.59600000000046</v>
      </c>
      <c r="Y247">
        <f t="shared" si="23"/>
        <v>0</v>
      </c>
    </row>
    <row r="248" spans="1:25" x14ac:dyDescent="0.35">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c r="T248">
        <f t="shared" si="18"/>
        <v>262.26</v>
      </c>
      <c r="U248">
        <f t="shared" si="19"/>
        <v>26.225999999999999</v>
      </c>
      <c r="V248">
        <f t="shared" si="20"/>
        <v>236.03399999999999</v>
      </c>
      <c r="W248">
        <f t="shared" si="21"/>
        <v>6</v>
      </c>
      <c r="X248">
        <f t="shared" si="22"/>
        <v>-26.225999999999999</v>
      </c>
      <c r="Y248">
        <f t="shared" si="23"/>
        <v>0</v>
      </c>
    </row>
    <row r="249" spans="1:25" x14ac:dyDescent="0.35">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c r="T249">
        <f t="shared" si="18"/>
        <v>3570.66</v>
      </c>
      <c r="U249">
        <f t="shared" si="19"/>
        <v>0</v>
      </c>
      <c r="V249">
        <f t="shared" si="20"/>
        <v>3570.66</v>
      </c>
      <c r="W249">
        <f t="shared" si="21"/>
        <v>7</v>
      </c>
      <c r="X249">
        <f t="shared" si="22"/>
        <v>0</v>
      </c>
      <c r="Y249">
        <f t="shared" si="23"/>
        <v>0</v>
      </c>
    </row>
    <row r="250" spans="1:25" x14ac:dyDescent="0.35">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c r="T250">
        <f t="shared" si="18"/>
        <v>3099.96</v>
      </c>
      <c r="U250">
        <f t="shared" si="19"/>
        <v>154.99800000000002</v>
      </c>
      <c r="V250">
        <f t="shared" si="20"/>
        <v>2944.962</v>
      </c>
      <c r="W250">
        <f t="shared" si="21"/>
        <v>8</v>
      </c>
      <c r="X250">
        <f t="shared" si="22"/>
        <v>-154.99800000000005</v>
      </c>
      <c r="Y250">
        <f t="shared" si="23"/>
        <v>0</v>
      </c>
    </row>
    <row r="251" spans="1:25" x14ac:dyDescent="0.35">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c r="T251">
        <f t="shared" si="18"/>
        <v>1215.42</v>
      </c>
      <c r="U251">
        <f t="shared" si="19"/>
        <v>60.771000000000008</v>
      </c>
      <c r="V251">
        <f t="shared" si="20"/>
        <v>1154.6490000000001</v>
      </c>
      <c r="W251">
        <f t="shared" si="21"/>
        <v>3</v>
      </c>
      <c r="X251">
        <f t="shared" si="22"/>
        <v>-60.770999999999958</v>
      </c>
      <c r="Y251">
        <f t="shared" si="23"/>
        <v>0</v>
      </c>
    </row>
    <row r="252" spans="1:25" x14ac:dyDescent="0.35">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c r="T252">
        <f t="shared" si="18"/>
        <v>3980.0800000000004</v>
      </c>
      <c r="U252">
        <f t="shared" si="19"/>
        <v>597.01200000000006</v>
      </c>
      <c r="V252">
        <f t="shared" si="20"/>
        <v>3383.0680000000002</v>
      </c>
      <c r="W252">
        <f t="shared" si="21"/>
        <v>9</v>
      </c>
      <c r="X252">
        <f t="shared" si="22"/>
        <v>-597.01200000000017</v>
      </c>
      <c r="Y252">
        <f t="shared" si="23"/>
        <v>0</v>
      </c>
    </row>
    <row r="253" spans="1:25" x14ac:dyDescent="0.35">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c r="T253">
        <f t="shared" si="18"/>
        <v>5200.1400000000003</v>
      </c>
      <c r="U253">
        <f t="shared" si="19"/>
        <v>780.02100000000007</v>
      </c>
      <c r="V253">
        <f t="shared" si="20"/>
        <v>4420.1190000000006</v>
      </c>
      <c r="W253">
        <f t="shared" si="21"/>
        <v>5</v>
      </c>
      <c r="X253">
        <f t="shared" si="22"/>
        <v>-780.02099999999973</v>
      </c>
      <c r="Y253">
        <f t="shared" si="23"/>
        <v>0</v>
      </c>
    </row>
    <row r="254" spans="1:25" x14ac:dyDescent="0.35">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c r="T254">
        <f t="shared" si="18"/>
        <v>6747.4</v>
      </c>
      <c r="U254">
        <f t="shared" si="19"/>
        <v>674.74</v>
      </c>
      <c r="V254">
        <f t="shared" si="20"/>
        <v>6072.66</v>
      </c>
      <c r="W254">
        <f t="shared" si="21"/>
        <v>7</v>
      </c>
      <c r="X254">
        <f t="shared" si="22"/>
        <v>-674.73999999999978</v>
      </c>
      <c r="Y254">
        <f t="shared" si="23"/>
        <v>0</v>
      </c>
    </row>
    <row r="255" spans="1:25" x14ac:dyDescent="0.35">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c r="T255">
        <f t="shared" si="18"/>
        <v>410.88</v>
      </c>
      <c r="U255">
        <f t="shared" si="19"/>
        <v>41.088000000000001</v>
      </c>
      <c r="V255">
        <f t="shared" si="20"/>
        <v>369.79199999999997</v>
      </c>
      <c r="W255">
        <f t="shared" si="21"/>
        <v>8</v>
      </c>
      <c r="X255">
        <f t="shared" si="22"/>
        <v>-41.088000000000022</v>
      </c>
      <c r="Y255">
        <f t="shared" si="23"/>
        <v>0</v>
      </c>
    </row>
    <row r="256" spans="1:25" x14ac:dyDescent="0.35">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c r="T256">
        <f t="shared" si="18"/>
        <v>1908.2</v>
      </c>
      <c r="U256">
        <f t="shared" si="19"/>
        <v>0</v>
      </c>
      <c r="V256">
        <f t="shared" si="20"/>
        <v>1908.2</v>
      </c>
      <c r="W256">
        <f t="shared" si="21"/>
        <v>9</v>
      </c>
      <c r="X256">
        <f t="shared" si="22"/>
        <v>0</v>
      </c>
      <c r="Y256">
        <f t="shared" si="23"/>
        <v>0</v>
      </c>
    </row>
    <row r="257" spans="1:25" x14ac:dyDescent="0.35">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c r="T257">
        <f t="shared" si="18"/>
        <v>3377.58</v>
      </c>
      <c r="U257">
        <f t="shared" si="19"/>
        <v>0</v>
      </c>
      <c r="V257">
        <f t="shared" si="20"/>
        <v>3377.58</v>
      </c>
      <c r="W257">
        <f t="shared" si="21"/>
        <v>7</v>
      </c>
      <c r="X257">
        <f t="shared" si="22"/>
        <v>0</v>
      </c>
      <c r="Y257">
        <f t="shared" si="23"/>
        <v>0</v>
      </c>
    </row>
    <row r="258" spans="1:25" x14ac:dyDescent="0.35">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c r="T258">
        <f t="shared" si="18"/>
        <v>365.79999999999995</v>
      </c>
      <c r="U258">
        <f t="shared" si="19"/>
        <v>0</v>
      </c>
      <c r="V258">
        <f t="shared" si="20"/>
        <v>365.79999999999995</v>
      </c>
      <c r="W258">
        <f t="shared" si="21"/>
        <v>3</v>
      </c>
      <c r="X258">
        <f t="shared" si="22"/>
        <v>0</v>
      </c>
      <c r="Y258">
        <f t="shared" si="23"/>
        <v>0</v>
      </c>
    </row>
    <row r="259" spans="1:25" x14ac:dyDescent="0.35">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c r="T259">
        <f t="shared" ref="T259:T322" si="24">D259*E259</f>
        <v>1462.02</v>
      </c>
      <c r="U259">
        <f t="shared" ref="U259:U322" si="25">T259*H259</f>
        <v>0</v>
      </c>
      <c r="V259">
        <f t="shared" ref="V259:V322" si="26">T259-U259</f>
        <v>1462.02</v>
      </c>
      <c r="W259">
        <f t="shared" ref="W259:W322" si="27">R259-Q259</f>
        <v>7</v>
      </c>
      <c r="X259">
        <f t="shared" ref="X259:X322" si="28">V259-(E259*D259)</f>
        <v>0</v>
      </c>
      <c r="Y259">
        <f t="shared" ref="Y259:Y322" si="29">IF(M259 = "Yes", -V259,0)</f>
        <v>0</v>
      </c>
    </row>
    <row r="260" spans="1:25" x14ac:dyDescent="0.35">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c r="T260">
        <f t="shared" si="24"/>
        <v>3964.32</v>
      </c>
      <c r="U260">
        <f t="shared" si="25"/>
        <v>198.21600000000001</v>
      </c>
      <c r="V260">
        <f t="shared" si="26"/>
        <v>3766.1040000000003</v>
      </c>
      <c r="W260">
        <f t="shared" si="27"/>
        <v>6</v>
      </c>
      <c r="X260">
        <f t="shared" si="28"/>
        <v>-198.21599999999989</v>
      </c>
      <c r="Y260">
        <f t="shared" si="29"/>
        <v>0</v>
      </c>
    </row>
    <row r="261" spans="1:25" x14ac:dyDescent="0.35">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c r="T261">
        <f t="shared" si="24"/>
        <v>351.82</v>
      </c>
      <c r="U261">
        <f t="shared" si="25"/>
        <v>52.772999999999996</v>
      </c>
      <c r="V261">
        <f t="shared" si="26"/>
        <v>299.04700000000003</v>
      </c>
      <c r="W261">
        <f t="shared" si="27"/>
        <v>7</v>
      </c>
      <c r="X261">
        <f t="shared" si="28"/>
        <v>-52.772999999999968</v>
      </c>
      <c r="Y261">
        <f t="shared" si="29"/>
        <v>0</v>
      </c>
    </row>
    <row r="262" spans="1:25" x14ac:dyDescent="0.35">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c r="T262">
        <f t="shared" si="24"/>
        <v>749.18</v>
      </c>
      <c r="U262">
        <f t="shared" si="25"/>
        <v>112.377</v>
      </c>
      <c r="V262">
        <f t="shared" si="26"/>
        <v>636.803</v>
      </c>
      <c r="W262">
        <f t="shared" si="27"/>
        <v>8</v>
      </c>
      <c r="X262">
        <f t="shared" si="28"/>
        <v>-112.37699999999995</v>
      </c>
      <c r="Y262">
        <f t="shared" si="29"/>
        <v>0</v>
      </c>
    </row>
    <row r="263" spans="1:25" x14ac:dyDescent="0.35">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c r="T263">
        <f t="shared" si="24"/>
        <v>3273.2000000000003</v>
      </c>
      <c r="U263">
        <f t="shared" si="25"/>
        <v>327.32000000000005</v>
      </c>
      <c r="V263">
        <f t="shared" si="26"/>
        <v>2945.88</v>
      </c>
      <c r="W263">
        <f t="shared" si="27"/>
        <v>8</v>
      </c>
      <c r="X263">
        <f t="shared" si="28"/>
        <v>-327.32000000000016</v>
      </c>
      <c r="Y263">
        <f t="shared" si="29"/>
        <v>0</v>
      </c>
    </row>
    <row r="264" spans="1:25" x14ac:dyDescent="0.35">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c r="T264">
        <f t="shared" si="24"/>
        <v>1128.72</v>
      </c>
      <c r="U264">
        <f t="shared" si="25"/>
        <v>56.436000000000007</v>
      </c>
      <c r="V264">
        <f t="shared" si="26"/>
        <v>1072.2840000000001</v>
      </c>
      <c r="W264">
        <f t="shared" si="27"/>
        <v>4</v>
      </c>
      <c r="X264">
        <f t="shared" si="28"/>
        <v>-56.435999999999922</v>
      </c>
      <c r="Y264">
        <f t="shared" si="29"/>
        <v>0</v>
      </c>
    </row>
    <row r="265" spans="1:25" x14ac:dyDescent="0.35">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c r="T265">
        <f t="shared" si="24"/>
        <v>1826.3700000000001</v>
      </c>
      <c r="U265">
        <f t="shared" si="25"/>
        <v>0</v>
      </c>
      <c r="V265">
        <f t="shared" si="26"/>
        <v>1826.3700000000001</v>
      </c>
      <c r="W265">
        <f t="shared" si="27"/>
        <v>9</v>
      </c>
      <c r="X265">
        <f t="shared" si="28"/>
        <v>0</v>
      </c>
      <c r="Y265">
        <f t="shared" si="29"/>
        <v>0</v>
      </c>
    </row>
    <row r="266" spans="1:25" x14ac:dyDescent="0.35">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c r="T266">
        <f t="shared" si="24"/>
        <v>1518.99</v>
      </c>
      <c r="U266">
        <f t="shared" si="25"/>
        <v>227.8485</v>
      </c>
      <c r="V266">
        <f t="shared" si="26"/>
        <v>1291.1415</v>
      </c>
      <c r="W266">
        <f t="shared" si="27"/>
        <v>7</v>
      </c>
      <c r="X266">
        <f t="shared" si="28"/>
        <v>-227.84850000000006</v>
      </c>
      <c r="Y266">
        <f t="shared" si="29"/>
        <v>0</v>
      </c>
    </row>
    <row r="267" spans="1:25" x14ac:dyDescent="0.35">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c r="T267">
        <f t="shared" si="24"/>
        <v>1109.8399999999999</v>
      </c>
      <c r="U267">
        <f t="shared" si="25"/>
        <v>55.491999999999997</v>
      </c>
      <c r="V267">
        <f t="shared" si="26"/>
        <v>1054.348</v>
      </c>
      <c r="W267">
        <f t="shared" si="27"/>
        <v>7</v>
      </c>
      <c r="X267">
        <f t="shared" si="28"/>
        <v>-55.491999999999962</v>
      </c>
      <c r="Y267">
        <f t="shared" si="29"/>
        <v>0</v>
      </c>
    </row>
    <row r="268" spans="1:25" x14ac:dyDescent="0.35">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c r="T268">
        <f t="shared" si="24"/>
        <v>807.18000000000006</v>
      </c>
      <c r="U268">
        <f t="shared" si="25"/>
        <v>121.077</v>
      </c>
      <c r="V268">
        <f t="shared" si="26"/>
        <v>686.10300000000007</v>
      </c>
      <c r="W268">
        <f t="shared" si="27"/>
        <v>4</v>
      </c>
      <c r="X268">
        <f t="shared" si="28"/>
        <v>-121.077</v>
      </c>
      <c r="Y268">
        <f t="shared" si="29"/>
        <v>0</v>
      </c>
    </row>
    <row r="269" spans="1:25" x14ac:dyDescent="0.35">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c r="T269">
        <f t="shared" si="24"/>
        <v>6767.28</v>
      </c>
      <c r="U269">
        <f t="shared" si="25"/>
        <v>338.36400000000003</v>
      </c>
      <c r="V269">
        <f t="shared" si="26"/>
        <v>6428.9159999999993</v>
      </c>
      <c r="W269">
        <f t="shared" si="27"/>
        <v>4</v>
      </c>
      <c r="X269">
        <f t="shared" si="28"/>
        <v>-338.36400000000049</v>
      </c>
      <c r="Y269">
        <f t="shared" si="29"/>
        <v>0</v>
      </c>
    </row>
    <row r="270" spans="1:25" x14ac:dyDescent="0.35">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c r="T270">
        <f t="shared" si="24"/>
        <v>5384.7000000000007</v>
      </c>
      <c r="U270">
        <f t="shared" si="25"/>
        <v>538.47000000000014</v>
      </c>
      <c r="V270">
        <f t="shared" si="26"/>
        <v>4846.2300000000005</v>
      </c>
      <c r="W270">
        <f t="shared" si="27"/>
        <v>10</v>
      </c>
      <c r="X270">
        <f t="shared" si="28"/>
        <v>-538.47000000000025</v>
      </c>
      <c r="Y270">
        <f t="shared" si="29"/>
        <v>0</v>
      </c>
    </row>
    <row r="271" spans="1:25" x14ac:dyDescent="0.35">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c r="T271">
        <f t="shared" si="24"/>
        <v>7581.6</v>
      </c>
      <c r="U271">
        <f t="shared" si="25"/>
        <v>758.16000000000008</v>
      </c>
      <c r="V271">
        <f t="shared" si="26"/>
        <v>6823.4400000000005</v>
      </c>
      <c r="W271">
        <f t="shared" si="27"/>
        <v>8</v>
      </c>
      <c r="X271">
        <f t="shared" si="28"/>
        <v>-758.15999999999985</v>
      </c>
      <c r="Y271">
        <f t="shared" si="29"/>
        <v>0</v>
      </c>
    </row>
    <row r="272" spans="1:25" x14ac:dyDescent="0.35">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c r="T272">
        <f t="shared" si="24"/>
        <v>1248.3599999999999</v>
      </c>
      <c r="U272">
        <f t="shared" si="25"/>
        <v>187.25399999999999</v>
      </c>
      <c r="V272">
        <f t="shared" si="26"/>
        <v>1061.106</v>
      </c>
      <c r="W272">
        <f t="shared" si="27"/>
        <v>7</v>
      </c>
      <c r="X272">
        <f t="shared" si="28"/>
        <v>-187.25399999999991</v>
      </c>
      <c r="Y272">
        <f t="shared" si="29"/>
        <v>0</v>
      </c>
    </row>
    <row r="273" spans="1:25" x14ac:dyDescent="0.35">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c r="T273">
        <f t="shared" si="24"/>
        <v>8693.7000000000007</v>
      </c>
      <c r="U273">
        <f t="shared" si="25"/>
        <v>1304.0550000000001</v>
      </c>
      <c r="V273">
        <f t="shared" si="26"/>
        <v>7389.6450000000004</v>
      </c>
      <c r="W273">
        <f t="shared" si="27"/>
        <v>8</v>
      </c>
      <c r="X273">
        <f t="shared" si="28"/>
        <v>-1304.0550000000003</v>
      </c>
      <c r="Y273">
        <f t="shared" si="29"/>
        <v>0</v>
      </c>
    </row>
    <row r="274" spans="1:25" x14ac:dyDescent="0.35">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c r="T274">
        <f t="shared" si="24"/>
        <v>2174.3000000000002</v>
      </c>
      <c r="U274">
        <f t="shared" si="25"/>
        <v>326.14500000000004</v>
      </c>
      <c r="V274">
        <f t="shared" si="26"/>
        <v>1848.1550000000002</v>
      </c>
      <c r="W274">
        <f t="shared" si="27"/>
        <v>9</v>
      </c>
      <c r="X274">
        <f t="shared" si="28"/>
        <v>-326.14499999999998</v>
      </c>
      <c r="Y274">
        <f t="shared" si="29"/>
        <v>0</v>
      </c>
    </row>
    <row r="275" spans="1:25" x14ac:dyDescent="0.35">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c r="T275">
        <f t="shared" si="24"/>
        <v>7142.25</v>
      </c>
      <c r="U275">
        <f t="shared" si="25"/>
        <v>357.11250000000001</v>
      </c>
      <c r="V275">
        <f t="shared" si="26"/>
        <v>6785.1374999999998</v>
      </c>
      <c r="W275">
        <f t="shared" si="27"/>
        <v>4</v>
      </c>
      <c r="X275">
        <f t="shared" si="28"/>
        <v>-357.11250000000018</v>
      </c>
      <c r="Y275">
        <f t="shared" si="29"/>
        <v>0</v>
      </c>
    </row>
    <row r="276" spans="1:25" x14ac:dyDescent="0.35">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c r="T276">
        <f t="shared" si="24"/>
        <v>445.15</v>
      </c>
      <c r="U276">
        <f t="shared" si="25"/>
        <v>44.515000000000001</v>
      </c>
      <c r="V276">
        <f t="shared" si="26"/>
        <v>400.63499999999999</v>
      </c>
      <c r="W276">
        <f t="shared" si="27"/>
        <v>10</v>
      </c>
      <c r="X276">
        <f t="shared" si="28"/>
        <v>-44.514999999999986</v>
      </c>
      <c r="Y276">
        <f t="shared" si="29"/>
        <v>0</v>
      </c>
    </row>
    <row r="277" spans="1:25" x14ac:dyDescent="0.35">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c r="T277">
        <f t="shared" si="24"/>
        <v>116.96</v>
      </c>
      <c r="U277">
        <f t="shared" si="25"/>
        <v>11.696</v>
      </c>
      <c r="V277">
        <f t="shared" si="26"/>
        <v>105.264</v>
      </c>
      <c r="W277">
        <f t="shared" si="27"/>
        <v>10</v>
      </c>
      <c r="X277">
        <f t="shared" si="28"/>
        <v>-11.695999999999998</v>
      </c>
      <c r="Y277">
        <f t="shared" si="29"/>
        <v>0</v>
      </c>
    </row>
    <row r="278" spans="1:25" x14ac:dyDescent="0.35">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c r="T278">
        <f t="shared" si="24"/>
        <v>2131.56</v>
      </c>
      <c r="U278">
        <f t="shared" si="25"/>
        <v>213.15600000000001</v>
      </c>
      <c r="V278">
        <f t="shared" si="26"/>
        <v>1918.404</v>
      </c>
      <c r="W278">
        <f t="shared" si="27"/>
        <v>3</v>
      </c>
      <c r="X278">
        <f t="shared" si="28"/>
        <v>-213.15599999999995</v>
      </c>
      <c r="Y278">
        <f t="shared" si="29"/>
        <v>0</v>
      </c>
    </row>
    <row r="279" spans="1:25" x14ac:dyDescent="0.35">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c r="T279">
        <f t="shared" si="24"/>
        <v>2358.08</v>
      </c>
      <c r="U279">
        <f t="shared" si="25"/>
        <v>235.80799999999999</v>
      </c>
      <c r="V279">
        <f t="shared" si="26"/>
        <v>2122.2719999999999</v>
      </c>
      <c r="W279">
        <f t="shared" si="27"/>
        <v>3</v>
      </c>
      <c r="X279">
        <f t="shared" si="28"/>
        <v>-235.80799999999999</v>
      </c>
      <c r="Y279">
        <f t="shared" si="29"/>
        <v>0</v>
      </c>
    </row>
    <row r="280" spans="1:25" x14ac:dyDescent="0.35">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c r="T280">
        <f t="shared" si="24"/>
        <v>971.04</v>
      </c>
      <c r="U280">
        <f t="shared" si="25"/>
        <v>0</v>
      </c>
      <c r="V280">
        <f t="shared" si="26"/>
        <v>971.04</v>
      </c>
      <c r="W280">
        <f t="shared" si="27"/>
        <v>3</v>
      </c>
      <c r="X280">
        <f t="shared" si="28"/>
        <v>0</v>
      </c>
      <c r="Y280">
        <f t="shared" si="29"/>
        <v>0</v>
      </c>
    </row>
    <row r="281" spans="1:25" x14ac:dyDescent="0.35">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c r="T281">
        <f t="shared" si="24"/>
        <v>1119.26</v>
      </c>
      <c r="U281">
        <f t="shared" si="25"/>
        <v>111.926</v>
      </c>
      <c r="V281">
        <f t="shared" si="26"/>
        <v>1007.3339999999999</v>
      </c>
      <c r="W281">
        <f t="shared" si="27"/>
        <v>6</v>
      </c>
      <c r="X281">
        <f t="shared" si="28"/>
        <v>-111.92600000000004</v>
      </c>
      <c r="Y281">
        <f t="shared" si="29"/>
        <v>0</v>
      </c>
    </row>
    <row r="282" spans="1:25" x14ac:dyDescent="0.35">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c r="T282">
        <f t="shared" si="24"/>
        <v>930.64</v>
      </c>
      <c r="U282">
        <f t="shared" si="25"/>
        <v>93.064000000000007</v>
      </c>
      <c r="V282">
        <f t="shared" si="26"/>
        <v>837.57600000000002</v>
      </c>
      <c r="W282">
        <f t="shared" si="27"/>
        <v>3</v>
      </c>
      <c r="X282">
        <f t="shared" si="28"/>
        <v>-93.063999999999965</v>
      </c>
      <c r="Y282">
        <f t="shared" si="29"/>
        <v>0</v>
      </c>
    </row>
    <row r="283" spans="1:25" x14ac:dyDescent="0.35">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c r="T283">
        <f t="shared" si="24"/>
        <v>2308.6999999999998</v>
      </c>
      <c r="U283">
        <f t="shared" si="25"/>
        <v>346.30499999999995</v>
      </c>
      <c r="V283">
        <f t="shared" si="26"/>
        <v>1962.395</v>
      </c>
      <c r="W283">
        <f t="shared" si="27"/>
        <v>5</v>
      </c>
      <c r="X283">
        <f t="shared" si="28"/>
        <v>-346.30499999999984</v>
      </c>
      <c r="Y283">
        <f t="shared" si="29"/>
        <v>0</v>
      </c>
    </row>
    <row r="284" spans="1:25" x14ac:dyDescent="0.35">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c r="T284">
        <f t="shared" si="24"/>
        <v>2477.2999999999997</v>
      </c>
      <c r="U284">
        <f t="shared" si="25"/>
        <v>371.59499999999997</v>
      </c>
      <c r="V284">
        <f t="shared" si="26"/>
        <v>2105.7049999999999</v>
      </c>
      <c r="W284">
        <f t="shared" si="27"/>
        <v>10</v>
      </c>
      <c r="X284">
        <f t="shared" si="28"/>
        <v>-371.5949999999998</v>
      </c>
      <c r="Y284">
        <f t="shared" si="29"/>
        <v>0</v>
      </c>
    </row>
    <row r="285" spans="1:25" x14ac:dyDescent="0.35">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c r="T285">
        <f t="shared" si="24"/>
        <v>6732.84</v>
      </c>
      <c r="U285">
        <f t="shared" si="25"/>
        <v>0</v>
      </c>
      <c r="V285">
        <f t="shared" si="26"/>
        <v>6732.84</v>
      </c>
      <c r="W285">
        <f t="shared" si="27"/>
        <v>4</v>
      </c>
      <c r="X285">
        <f t="shared" si="28"/>
        <v>0</v>
      </c>
      <c r="Y285">
        <f t="shared" si="29"/>
        <v>0</v>
      </c>
    </row>
    <row r="286" spans="1:25" x14ac:dyDescent="0.35">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c r="T286">
        <f t="shared" si="24"/>
        <v>3708.15</v>
      </c>
      <c r="U286">
        <f t="shared" si="25"/>
        <v>370.81500000000005</v>
      </c>
      <c r="V286">
        <f t="shared" si="26"/>
        <v>3337.335</v>
      </c>
      <c r="W286">
        <f t="shared" si="27"/>
        <v>2</v>
      </c>
      <c r="X286">
        <f t="shared" si="28"/>
        <v>-370.81500000000005</v>
      </c>
      <c r="Y286">
        <f t="shared" si="29"/>
        <v>0</v>
      </c>
    </row>
    <row r="287" spans="1:25" x14ac:dyDescent="0.35">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c r="T287">
        <f t="shared" si="24"/>
        <v>5153.18</v>
      </c>
      <c r="U287">
        <f t="shared" si="25"/>
        <v>515.3180000000001</v>
      </c>
      <c r="V287">
        <f t="shared" si="26"/>
        <v>4637.8620000000001</v>
      </c>
      <c r="W287">
        <f t="shared" si="27"/>
        <v>10</v>
      </c>
      <c r="X287">
        <f t="shared" si="28"/>
        <v>-515.31800000000021</v>
      </c>
      <c r="Y287">
        <f t="shared" si="29"/>
        <v>0</v>
      </c>
    </row>
    <row r="288" spans="1:25" x14ac:dyDescent="0.35">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c r="T288">
        <f t="shared" si="24"/>
        <v>3195.24</v>
      </c>
      <c r="U288">
        <f t="shared" si="25"/>
        <v>0</v>
      </c>
      <c r="V288">
        <f t="shared" si="26"/>
        <v>3195.24</v>
      </c>
      <c r="W288">
        <f t="shared" si="27"/>
        <v>10</v>
      </c>
      <c r="X288">
        <f t="shared" si="28"/>
        <v>0</v>
      </c>
      <c r="Y288">
        <f t="shared" si="29"/>
        <v>0</v>
      </c>
    </row>
    <row r="289" spans="1:25" x14ac:dyDescent="0.35">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c r="T289">
        <f t="shared" si="24"/>
        <v>5272.64</v>
      </c>
      <c r="U289">
        <f t="shared" si="25"/>
        <v>790.89600000000007</v>
      </c>
      <c r="V289">
        <f t="shared" si="26"/>
        <v>4481.7440000000006</v>
      </c>
      <c r="W289">
        <f t="shared" si="27"/>
        <v>6</v>
      </c>
      <c r="X289">
        <f t="shared" si="28"/>
        <v>-790.89599999999973</v>
      </c>
      <c r="Y289">
        <f t="shared" si="29"/>
        <v>0</v>
      </c>
    </row>
    <row r="290" spans="1:25" x14ac:dyDescent="0.35">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c r="T290">
        <f t="shared" si="24"/>
        <v>1020.5999999999999</v>
      </c>
      <c r="U290">
        <f t="shared" si="25"/>
        <v>0</v>
      </c>
      <c r="V290">
        <f t="shared" si="26"/>
        <v>1020.5999999999999</v>
      </c>
      <c r="W290">
        <f t="shared" si="27"/>
        <v>3</v>
      </c>
      <c r="X290">
        <f t="shared" si="28"/>
        <v>0</v>
      </c>
      <c r="Y290">
        <f t="shared" si="29"/>
        <v>0</v>
      </c>
    </row>
    <row r="291" spans="1:25" x14ac:dyDescent="0.35">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c r="T291">
        <f t="shared" si="24"/>
        <v>4043.7700000000004</v>
      </c>
      <c r="U291">
        <f t="shared" si="25"/>
        <v>606.56550000000004</v>
      </c>
      <c r="V291">
        <f t="shared" si="26"/>
        <v>3437.2045000000003</v>
      </c>
      <c r="W291">
        <f t="shared" si="27"/>
        <v>7</v>
      </c>
      <c r="X291">
        <f t="shared" si="28"/>
        <v>-606.56550000000016</v>
      </c>
      <c r="Y291">
        <f t="shared" si="29"/>
        <v>0</v>
      </c>
    </row>
    <row r="292" spans="1:25" x14ac:dyDescent="0.35">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c r="T292">
        <f t="shared" si="24"/>
        <v>2894.6</v>
      </c>
      <c r="U292">
        <f t="shared" si="25"/>
        <v>0</v>
      </c>
      <c r="V292">
        <f t="shared" si="26"/>
        <v>2894.6</v>
      </c>
      <c r="W292">
        <f t="shared" si="27"/>
        <v>8</v>
      </c>
      <c r="X292">
        <f t="shared" si="28"/>
        <v>0</v>
      </c>
      <c r="Y292">
        <f t="shared" si="29"/>
        <v>0</v>
      </c>
    </row>
    <row r="293" spans="1:25" x14ac:dyDescent="0.35">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c r="T293">
        <f t="shared" si="24"/>
        <v>1370.76</v>
      </c>
      <c r="U293">
        <f t="shared" si="25"/>
        <v>137.07599999999999</v>
      </c>
      <c r="V293">
        <f t="shared" si="26"/>
        <v>1233.684</v>
      </c>
      <c r="W293">
        <f t="shared" si="27"/>
        <v>7</v>
      </c>
      <c r="X293">
        <f t="shared" si="28"/>
        <v>-137.07600000000002</v>
      </c>
      <c r="Y293">
        <f t="shared" si="29"/>
        <v>0</v>
      </c>
    </row>
    <row r="294" spans="1:25" x14ac:dyDescent="0.35">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c r="T294">
        <f t="shared" si="24"/>
        <v>6258.36</v>
      </c>
      <c r="U294">
        <f t="shared" si="25"/>
        <v>0</v>
      </c>
      <c r="V294">
        <f t="shared" si="26"/>
        <v>6258.36</v>
      </c>
      <c r="W294">
        <f t="shared" si="27"/>
        <v>9</v>
      </c>
      <c r="X294">
        <f t="shared" si="28"/>
        <v>0</v>
      </c>
      <c r="Y294">
        <f t="shared" si="29"/>
        <v>0</v>
      </c>
    </row>
    <row r="295" spans="1:25" x14ac:dyDescent="0.35">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c r="T295">
        <f t="shared" si="24"/>
        <v>7959.23</v>
      </c>
      <c r="U295">
        <f t="shared" si="25"/>
        <v>397.9615</v>
      </c>
      <c r="V295">
        <f t="shared" si="26"/>
        <v>7561.2684999999992</v>
      </c>
      <c r="W295">
        <f t="shared" si="27"/>
        <v>3</v>
      </c>
      <c r="X295">
        <f t="shared" si="28"/>
        <v>-397.96150000000034</v>
      </c>
      <c r="Y295">
        <f t="shared" si="29"/>
        <v>0</v>
      </c>
    </row>
    <row r="296" spans="1:25" x14ac:dyDescent="0.35">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c r="T296">
        <f t="shared" si="24"/>
        <v>79.290000000000006</v>
      </c>
      <c r="U296">
        <f t="shared" si="25"/>
        <v>11.893500000000001</v>
      </c>
      <c r="V296">
        <f t="shared" si="26"/>
        <v>67.396500000000003</v>
      </c>
      <c r="W296">
        <f t="shared" si="27"/>
        <v>10</v>
      </c>
      <c r="X296">
        <f t="shared" si="28"/>
        <v>-11.893500000000003</v>
      </c>
      <c r="Y296">
        <f t="shared" si="29"/>
        <v>0</v>
      </c>
    </row>
    <row r="297" spans="1:25" x14ac:dyDescent="0.35">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c r="T297">
        <f t="shared" si="24"/>
        <v>3126.6000000000004</v>
      </c>
      <c r="U297">
        <f t="shared" si="25"/>
        <v>468.99</v>
      </c>
      <c r="V297">
        <f t="shared" si="26"/>
        <v>2657.6100000000006</v>
      </c>
      <c r="W297">
        <f t="shared" si="27"/>
        <v>2</v>
      </c>
      <c r="X297">
        <f t="shared" si="28"/>
        <v>-468.98999999999978</v>
      </c>
      <c r="Y297">
        <f t="shared" si="29"/>
        <v>0</v>
      </c>
    </row>
    <row r="298" spans="1:25" x14ac:dyDescent="0.35">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c r="T298">
        <f t="shared" si="24"/>
        <v>2899.1000000000004</v>
      </c>
      <c r="U298">
        <f t="shared" si="25"/>
        <v>289.91000000000003</v>
      </c>
      <c r="V298">
        <f t="shared" si="26"/>
        <v>2609.1900000000005</v>
      </c>
      <c r="W298">
        <f t="shared" si="27"/>
        <v>4</v>
      </c>
      <c r="X298">
        <f t="shared" si="28"/>
        <v>-289.90999999999985</v>
      </c>
      <c r="Y298">
        <f t="shared" si="29"/>
        <v>0</v>
      </c>
    </row>
    <row r="299" spans="1:25" x14ac:dyDescent="0.35">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c r="T299">
        <f t="shared" si="24"/>
        <v>426.81000000000006</v>
      </c>
      <c r="U299">
        <f t="shared" si="25"/>
        <v>21.340500000000006</v>
      </c>
      <c r="V299">
        <f t="shared" si="26"/>
        <v>405.46950000000004</v>
      </c>
      <c r="W299">
        <f t="shared" si="27"/>
        <v>6</v>
      </c>
      <c r="X299">
        <f t="shared" si="28"/>
        <v>-21.34050000000002</v>
      </c>
      <c r="Y299">
        <f t="shared" si="29"/>
        <v>0</v>
      </c>
    </row>
    <row r="300" spans="1:25" x14ac:dyDescent="0.35">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c r="T300">
        <f t="shared" si="24"/>
        <v>5311.3499999999995</v>
      </c>
      <c r="U300">
        <f t="shared" si="25"/>
        <v>265.5675</v>
      </c>
      <c r="V300">
        <f t="shared" si="26"/>
        <v>5045.7824999999993</v>
      </c>
      <c r="W300">
        <f t="shared" si="27"/>
        <v>8</v>
      </c>
      <c r="X300">
        <f t="shared" si="28"/>
        <v>-265.56750000000011</v>
      </c>
      <c r="Y300">
        <f t="shared" si="29"/>
        <v>0</v>
      </c>
    </row>
    <row r="301" spans="1:25" x14ac:dyDescent="0.35">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c r="T301">
        <f t="shared" si="24"/>
        <v>7171.4</v>
      </c>
      <c r="U301">
        <f t="shared" si="25"/>
        <v>0</v>
      </c>
      <c r="V301">
        <f t="shared" si="26"/>
        <v>7171.4</v>
      </c>
      <c r="W301">
        <f t="shared" si="27"/>
        <v>5</v>
      </c>
      <c r="X301">
        <f t="shared" si="28"/>
        <v>0</v>
      </c>
      <c r="Y301">
        <f t="shared" si="29"/>
        <v>0</v>
      </c>
    </row>
    <row r="302" spans="1:25" x14ac:dyDescent="0.35">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c r="T302">
        <f t="shared" si="24"/>
        <v>530.88</v>
      </c>
      <c r="U302">
        <f t="shared" si="25"/>
        <v>26.544</v>
      </c>
      <c r="V302">
        <f t="shared" si="26"/>
        <v>504.33600000000001</v>
      </c>
      <c r="W302">
        <f t="shared" si="27"/>
        <v>5</v>
      </c>
      <c r="X302">
        <f t="shared" si="28"/>
        <v>-26.543999999999983</v>
      </c>
      <c r="Y302">
        <f t="shared" si="29"/>
        <v>0</v>
      </c>
    </row>
    <row r="303" spans="1:25" x14ac:dyDescent="0.35">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c r="T303">
        <f t="shared" si="24"/>
        <v>248.8</v>
      </c>
      <c r="U303">
        <f t="shared" si="25"/>
        <v>0</v>
      </c>
      <c r="V303">
        <f t="shared" si="26"/>
        <v>248.8</v>
      </c>
      <c r="W303">
        <f t="shared" si="27"/>
        <v>5</v>
      </c>
      <c r="X303">
        <f t="shared" si="28"/>
        <v>0</v>
      </c>
      <c r="Y303">
        <f t="shared" si="29"/>
        <v>0</v>
      </c>
    </row>
    <row r="304" spans="1:25" x14ac:dyDescent="0.35">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c r="T304">
        <f t="shared" si="24"/>
        <v>213.12</v>
      </c>
      <c r="U304">
        <f t="shared" si="25"/>
        <v>21.312000000000001</v>
      </c>
      <c r="V304">
        <f t="shared" si="26"/>
        <v>191.80799999999999</v>
      </c>
      <c r="W304">
        <f t="shared" si="27"/>
        <v>8</v>
      </c>
      <c r="X304">
        <f t="shared" si="28"/>
        <v>-21.312000000000012</v>
      </c>
      <c r="Y304">
        <f t="shared" si="29"/>
        <v>0</v>
      </c>
    </row>
    <row r="305" spans="1:25" x14ac:dyDescent="0.35">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c r="T305">
        <f t="shared" si="24"/>
        <v>5528.48</v>
      </c>
      <c r="U305">
        <f t="shared" si="25"/>
        <v>829.27199999999993</v>
      </c>
      <c r="V305">
        <f t="shared" si="26"/>
        <v>4699.2079999999996</v>
      </c>
      <c r="W305">
        <f t="shared" si="27"/>
        <v>6</v>
      </c>
      <c r="X305">
        <f t="shared" si="28"/>
        <v>-829.27199999999993</v>
      </c>
      <c r="Y305">
        <f t="shared" si="29"/>
        <v>0</v>
      </c>
    </row>
    <row r="306" spans="1:25" x14ac:dyDescent="0.35">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c r="T306">
        <f t="shared" si="24"/>
        <v>5895.24</v>
      </c>
      <c r="U306">
        <f t="shared" si="25"/>
        <v>294.762</v>
      </c>
      <c r="V306">
        <f t="shared" si="26"/>
        <v>5600.4780000000001</v>
      </c>
      <c r="W306">
        <f t="shared" si="27"/>
        <v>9</v>
      </c>
      <c r="X306">
        <f t="shared" si="28"/>
        <v>-294.76199999999972</v>
      </c>
      <c r="Y306">
        <f t="shared" si="29"/>
        <v>0</v>
      </c>
    </row>
    <row r="307" spans="1:25" x14ac:dyDescent="0.35">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c r="T307">
        <f t="shared" si="24"/>
        <v>2777.4</v>
      </c>
      <c r="U307">
        <f t="shared" si="25"/>
        <v>416.61</v>
      </c>
      <c r="V307">
        <f t="shared" si="26"/>
        <v>2360.79</v>
      </c>
      <c r="W307">
        <f t="shared" si="27"/>
        <v>4</v>
      </c>
      <c r="X307">
        <f t="shared" si="28"/>
        <v>-416.61000000000013</v>
      </c>
      <c r="Y307">
        <f t="shared" si="29"/>
        <v>0</v>
      </c>
    </row>
    <row r="308" spans="1:25" x14ac:dyDescent="0.35">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c r="T308">
        <f t="shared" si="24"/>
        <v>1436.16</v>
      </c>
      <c r="U308">
        <f t="shared" si="25"/>
        <v>0</v>
      </c>
      <c r="V308">
        <f t="shared" si="26"/>
        <v>1436.16</v>
      </c>
      <c r="W308">
        <f t="shared" si="27"/>
        <v>7</v>
      </c>
      <c r="X308">
        <f t="shared" si="28"/>
        <v>0</v>
      </c>
      <c r="Y308">
        <f t="shared" si="29"/>
        <v>0</v>
      </c>
    </row>
    <row r="309" spans="1:25" x14ac:dyDescent="0.35">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c r="T309">
        <f t="shared" si="24"/>
        <v>5889.07</v>
      </c>
      <c r="U309">
        <f t="shared" si="25"/>
        <v>0</v>
      </c>
      <c r="V309">
        <f t="shared" si="26"/>
        <v>5889.07</v>
      </c>
      <c r="W309">
        <f t="shared" si="27"/>
        <v>9</v>
      </c>
      <c r="X309">
        <f t="shared" si="28"/>
        <v>0</v>
      </c>
      <c r="Y309">
        <f t="shared" si="29"/>
        <v>0</v>
      </c>
    </row>
    <row r="310" spans="1:25" x14ac:dyDescent="0.35">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c r="T310">
        <f t="shared" si="24"/>
        <v>140.22</v>
      </c>
      <c r="U310">
        <f t="shared" si="25"/>
        <v>14.022</v>
      </c>
      <c r="V310">
        <f t="shared" si="26"/>
        <v>126.19799999999999</v>
      </c>
      <c r="W310">
        <f t="shared" si="27"/>
        <v>8</v>
      </c>
      <c r="X310">
        <f t="shared" si="28"/>
        <v>-14.022000000000006</v>
      </c>
      <c r="Y310">
        <f t="shared" si="29"/>
        <v>0</v>
      </c>
    </row>
    <row r="311" spans="1:25" x14ac:dyDescent="0.35">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c r="T311">
        <f t="shared" si="24"/>
        <v>6065.02</v>
      </c>
      <c r="U311">
        <f t="shared" si="25"/>
        <v>0</v>
      </c>
      <c r="V311">
        <f t="shared" si="26"/>
        <v>6065.02</v>
      </c>
      <c r="W311">
        <f t="shared" si="27"/>
        <v>9</v>
      </c>
      <c r="X311">
        <f t="shared" si="28"/>
        <v>0</v>
      </c>
      <c r="Y311">
        <f t="shared" si="29"/>
        <v>0</v>
      </c>
    </row>
    <row r="312" spans="1:25" x14ac:dyDescent="0.35">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c r="T312">
        <f t="shared" si="24"/>
        <v>9488</v>
      </c>
      <c r="U312">
        <f t="shared" si="25"/>
        <v>948.80000000000007</v>
      </c>
      <c r="V312">
        <f t="shared" si="26"/>
        <v>8539.2000000000007</v>
      </c>
      <c r="W312">
        <f t="shared" si="27"/>
        <v>3</v>
      </c>
      <c r="X312">
        <f t="shared" si="28"/>
        <v>-948.79999999999927</v>
      </c>
      <c r="Y312">
        <f t="shared" si="29"/>
        <v>0</v>
      </c>
    </row>
    <row r="313" spans="1:25" x14ac:dyDescent="0.35">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c r="T313">
        <f t="shared" si="24"/>
        <v>3404.16</v>
      </c>
      <c r="U313">
        <f t="shared" si="25"/>
        <v>170.208</v>
      </c>
      <c r="V313">
        <f t="shared" si="26"/>
        <v>3233.9519999999998</v>
      </c>
      <c r="W313">
        <f t="shared" si="27"/>
        <v>8</v>
      </c>
      <c r="X313">
        <f t="shared" si="28"/>
        <v>-170.20800000000008</v>
      </c>
      <c r="Y313">
        <f t="shared" si="29"/>
        <v>0</v>
      </c>
    </row>
    <row r="314" spans="1:25" x14ac:dyDescent="0.35">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c r="T314">
        <f t="shared" si="24"/>
        <v>8891.68</v>
      </c>
      <c r="U314">
        <f t="shared" si="25"/>
        <v>444.58400000000006</v>
      </c>
      <c r="V314">
        <f t="shared" si="26"/>
        <v>8447.0959999999995</v>
      </c>
      <c r="W314">
        <f t="shared" si="27"/>
        <v>10</v>
      </c>
      <c r="X314">
        <f t="shared" si="28"/>
        <v>-444.58400000000074</v>
      </c>
      <c r="Y314">
        <f t="shared" si="29"/>
        <v>0</v>
      </c>
    </row>
    <row r="315" spans="1:25" x14ac:dyDescent="0.35">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c r="T315">
        <f t="shared" si="24"/>
        <v>6398.7999999999993</v>
      </c>
      <c r="U315">
        <f t="shared" si="25"/>
        <v>0</v>
      </c>
      <c r="V315">
        <f t="shared" si="26"/>
        <v>6398.7999999999993</v>
      </c>
      <c r="W315">
        <f t="shared" si="27"/>
        <v>3</v>
      </c>
      <c r="X315">
        <f t="shared" si="28"/>
        <v>0</v>
      </c>
      <c r="Y315">
        <f t="shared" si="29"/>
        <v>0</v>
      </c>
    </row>
    <row r="316" spans="1:25" x14ac:dyDescent="0.35">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c r="T316">
        <f t="shared" si="24"/>
        <v>475.95</v>
      </c>
      <c r="U316">
        <f t="shared" si="25"/>
        <v>71.392499999999998</v>
      </c>
      <c r="V316">
        <f t="shared" si="26"/>
        <v>404.5575</v>
      </c>
      <c r="W316">
        <f t="shared" si="27"/>
        <v>10</v>
      </c>
      <c r="X316">
        <f t="shared" si="28"/>
        <v>-71.392499999999984</v>
      </c>
      <c r="Y316">
        <f t="shared" si="29"/>
        <v>0</v>
      </c>
    </row>
    <row r="317" spans="1:25" x14ac:dyDescent="0.35">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c r="T317">
        <f t="shared" si="24"/>
        <v>421.42</v>
      </c>
      <c r="U317">
        <f t="shared" si="25"/>
        <v>63.213000000000001</v>
      </c>
      <c r="V317">
        <f t="shared" si="26"/>
        <v>358.20699999999999</v>
      </c>
      <c r="W317">
        <f t="shared" si="27"/>
        <v>10</v>
      </c>
      <c r="X317">
        <f t="shared" si="28"/>
        <v>-63.213000000000022</v>
      </c>
      <c r="Y317">
        <f t="shared" si="29"/>
        <v>0</v>
      </c>
    </row>
    <row r="318" spans="1:25" x14ac:dyDescent="0.35">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c r="T318">
        <f t="shared" si="24"/>
        <v>2753.73</v>
      </c>
      <c r="U318">
        <f t="shared" si="25"/>
        <v>275.37299999999999</v>
      </c>
      <c r="V318">
        <f t="shared" si="26"/>
        <v>2478.357</v>
      </c>
      <c r="W318">
        <f t="shared" si="27"/>
        <v>3</v>
      </c>
      <c r="X318">
        <f t="shared" si="28"/>
        <v>-275.37300000000005</v>
      </c>
      <c r="Y318">
        <f t="shared" si="29"/>
        <v>0</v>
      </c>
    </row>
    <row r="319" spans="1:25" x14ac:dyDescent="0.35">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c r="T319">
        <f t="shared" si="24"/>
        <v>1482.39</v>
      </c>
      <c r="U319">
        <f t="shared" si="25"/>
        <v>0</v>
      </c>
      <c r="V319">
        <f t="shared" si="26"/>
        <v>1482.39</v>
      </c>
      <c r="W319">
        <f t="shared" si="27"/>
        <v>6</v>
      </c>
      <c r="X319">
        <f t="shared" si="28"/>
        <v>0</v>
      </c>
      <c r="Y319">
        <f t="shared" si="29"/>
        <v>0</v>
      </c>
    </row>
    <row r="320" spans="1:25" x14ac:dyDescent="0.35">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c r="T320">
        <f t="shared" si="24"/>
        <v>6056.64</v>
      </c>
      <c r="U320">
        <f t="shared" si="25"/>
        <v>0</v>
      </c>
      <c r="V320">
        <f t="shared" si="26"/>
        <v>6056.64</v>
      </c>
      <c r="W320">
        <f t="shared" si="27"/>
        <v>2</v>
      </c>
      <c r="X320">
        <f t="shared" si="28"/>
        <v>0</v>
      </c>
      <c r="Y320">
        <f t="shared" si="29"/>
        <v>0</v>
      </c>
    </row>
    <row r="321" spans="1:25" x14ac:dyDescent="0.35">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c r="T321">
        <f t="shared" si="24"/>
        <v>219.96</v>
      </c>
      <c r="U321">
        <f t="shared" si="25"/>
        <v>32.994</v>
      </c>
      <c r="V321">
        <f t="shared" si="26"/>
        <v>186.96600000000001</v>
      </c>
      <c r="W321">
        <f t="shared" si="27"/>
        <v>10</v>
      </c>
      <c r="X321">
        <f t="shared" si="28"/>
        <v>-32.994</v>
      </c>
      <c r="Y321">
        <f t="shared" si="29"/>
        <v>0</v>
      </c>
    </row>
    <row r="322" spans="1:25" x14ac:dyDescent="0.35">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c r="T322">
        <f t="shared" si="24"/>
        <v>4226.3999999999996</v>
      </c>
      <c r="U322">
        <f t="shared" si="25"/>
        <v>211.32</v>
      </c>
      <c r="V322">
        <f t="shared" si="26"/>
        <v>4015.0799999999995</v>
      </c>
      <c r="W322">
        <f t="shared" si="27"/>
        <v>9</v>
      </c>
      <c r="X322">
        <f t="shared" si="28"/>
        <v>-211.32000000000016</v>
      </c>
      <c r="Y322">
        <f t="shared" si="29"/>
        <v>0</v>
      </c>
    </row>
    <row r="323" spans="1:25" x14ac:dyDescent="0.35">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c r="T323">
        <f t="shared" ref="T323:T386" si="30">D323*E323</f>
        <v>2477.9300000000003</v>
      </c>
      <c r="U323">
        <f t="shared" ref="U323:U386" si="31">T323*H323</f>
        <v>123.89650000000002</v>
      </c>
      <c r="V323">
        <f t="shared" ref="V323:V386" si="32">T323-U323</f>
        <v>2354.0335000000005</v>
      </c>
      <c r="W323">
        <f t="shared" ref="W323:W386" si="33">R323-Q323</f>
        <v>7</v>
      </c>
      <c r="X323">
        <f t="shared" ref="X323:X386" si="34">V323-(E323*D323)</f>
        <v>-123.89649999999983</v>
      </c>
      <c r="Y323">
        <f t="shared" ref="Y323:Y386" si="35">IF(M323 = "Yes", -V323,0)</f>
        <v>0</v>
      </c>
    </row>
    <row r="324" spans="1:25" x14ac:dyDescent="0.35">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c r="T324">
        <f t="shared" si="30"/>
        <v>153.30000000000001</v>
      </c>
      <c r="U324">
        <f t="shared" si="31"/>
        <v>0</v>
      </c>
      <c r="V324">
        <f t="shared" si="32"/>
        <v>153.30000000000001</v>
      </c>
      <c r="W324">
        <f t="shared" si="33"/>
        <v>4</v>
      </c>
      <c r="X324">
        <f t="shared" si="34"/>
        <v>0</v>
      </c>
      <c r="Y324">
        <f t="shared" si="35"/>
        <v>0</v>
      </c>
    </row>
    <row r="325" spans="1:25" x14ac:dyDescent="0.35">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c r="T325">
        <f t="shared" si="30"/>
        <v>7890.72</v>
      </c>
      <c r="U325">
        <f t="shared" si="31"/>
        <v>1183.6079999999999</v>
      </c>
      <c r="V325">
        <f t="shared" si="32"/>
        <v>6707.1120000000001</v>
      </c>
      <c r="W325">
        <f t="shared" si="33"/>
        <v>4</v>
      </c>
      <c r="X325">
        <f t="shared" si="34"/>
        <v>-1183.6080000000002</v>
      </c>
      <c r="Y325">
        <f t="shared" si="35"/>
        <v>0</v>
      </c>
    </row>
    <row r="326" spans="1:25" x14ac:dyDescent="0.35">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c r="T326">
        <f t="shared" si="30"/>
        <v>6980.96</v>
      </c>
      <c r="U326">
        <f t="shared" si="31"/>
        <v>349.048</v>
      </c>
      <c r="V326">
        <f t="shared" si="32"/>
        <v>6631.9120000000003</v>
      </c>
      <c r="W326">
        <f t="shared" si="33"/>
        <v>4</v>
      </c>
      <c r="X326">
        <f t="shared" si="34"/>
        <v>-349.04799999999977</v>
      </c>
      <c r="Y326">
        <f t="shared" si="35"/>
        <v>0</v>
      </c>
    </row>
    <row r="327" spans="1:25" x14ac:dyDescent="0.35">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c r="T327">
        <f t="shared" si="30"/>
        <v>1979.3700000000001</v>
      </c>
      <c r="U327">
        <f t="shared" si="31"/>
        <v>98.968500000000006</v>
      </c>
      <c r="V327">
        <f t="shared" si="32"/>
        <v>1880.4015000000002</v>
      </c>
      <c r="W327">
        <f t="shared" si="33"/>
        <v>4</v>
      </c>
      <c r="X327">
        <f t="shared" si="34"/>
        <v>-98.968499999999949</v>
      </c>
      <c r="Y327">
        <f t="shared" si="35"/>
        <v>0</v>
      </c>
    </row>
    <row r="328" spans="1:25" x14ac:dyDescent="0.35">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c r="T328">
        <f t="shared" si="30"/>
        <v>1556.1000000000001</v>
      </c>
      <c r="U328">
        <f t="shared" si="31"/>
        <v>233.41500000000002</v>
      </c>
      <c r="V328">
        <f t="shared" si="32"/>
        <v>1322.6850000000002</v>
      </c>
      <c r="W328">
        <f t="shared" si="33"/>
        <v>6</v>
      </c>
      <c r="X328">
        <f t="shared" si="34"/>
        <v>-233.41499999999996</v>
      </c>
      <c r="Y328">
        <f t="shared" si="35"/>
        <v>0</v>
      </c>
    </row>
    <row r="329" spans="1:25" x14ac:dyDescent="0.35">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c r="T329">
        <f t="shared" si="30"/>
        <v>2190.2399999999998</v>
      </c>
      <c r="U329">
        <f t="shared" si="31"/>
        <v>328.53599999999994</v>
      </c>
      <c r="V329">
        <f t="shared" si="32"/>
        <v>1861.7039999999997</v>
      </c>
      <c r="W329">
        <f t="shared" si="33"/>
        <v>7</v>
      </c>
      <c r="X329">
        <f t="shared" si="34"/>
        <v>-328.53600000000006</v>
      </c>
      <c r="Y329">
        <f t="shared" si="35"/>
        <v>0</v>
      </c>
    </row>
    <row r="330" spans="1:25" x14ac:dyDescent="0.35">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c r="T330">
        <f t="shared" si="30"/>
        <v>474.21</v>
      </c>
      <c r="U330">
        <f t="shared" si="31"/>
        <v>71.131499999999988</v>
      </c>
      <c r="V330">
        <f t="shared" si="32"/>
        <v>403.07849999999996</v>
      </c>
      <c r="W330">
        <f t="shared" si="33"/>
        <v>5</v>
      </c>
      <c r="X330">
        <f t="shared" si="34"/>
        <v>-71.131500000000017</v>
      </c>
      <c r="Y330">
        <f t="shared" si="35"/>
        <v>0</v>
      </c>
    </row>
    <row r="331" spans="1:25" x14ac:dyDescent="0.35">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c r="T331">
        <f t="shared" si="30"/>
        <v>3912.66</v>
      </c>
      <c r="U331">
        <f t="shared" si="31"/>
        <v>391.26600000000002</v>
      </c>
      <c r="V331">
        <f t="shared" si="32"/>
        <v>3521.3939999999998</v>
      </c>
      <c r="W331">
        <f t="shared" si="33"/>
        <v>3</v>
      </c>
      <c r="X331">
        <f t="shared" si="34"/>
        <v>-391.26600000000008</v>
      </c>
      <c r="Y331">
        <f t="shared" si="35"/>
        <v>0</v>
      </c>
    </row>
    <row r="332" spans="1:25" x14ac:dyDescent="0.35">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c r="T332">
        <f t="shared" si="30"/>
        <v>1117.53</v>
      </c>
      <c r="U332">
        <f t="shared" si="31"/>
        <v>0</v>
      </c>
      <c r="V332">
        <f t="shared" si="32"/>
        <v>1117.53</v>
      </c>
      <c r="W332">
        <f t="shared" si="33"/>
        <v>4</v>
      </c>
      <c r="X332">
        <f t="shared" si="34"/>
        <v>0</v>
      </c>
      <c r="Y332">
        <f t="shared" si="35"/>
        <v>0</v>
      </c>
    </row>
    <row r="333" spans="1:25" x14ac:dyDescent="0.35">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c r="T333">
        <f t="shared" si="30"/>
        <v>750.96</v>
      </c>
      <c r="U333">
        <f t="shared" si="31"/>
        <v>37.548000000000002</v>
      </c>
      <c r="V333">
        <f t="shared" si="32"/>
        <v>713.41200000000003</v>
      </c>
      <c r="W333">
        <f t="shared" si="33"/>
        <v>2</v>
      </c>
      <c r="X333">
        <f t="shared" si="34"/>
        <v>-37.548000000000002</v>
      </c>
      <c r="Y333">
        <f t="shared" si="35"/>
        <v>0</v>
      </c>
    </row>
    <row r="334" spans="1:25" x14ac:dyDescent="0.35">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c r="T334">
        <f t="shared" si="30"/>
        <v>2743.78</v>
      </c>
      <c r="U334">
        <f t="shared" si="31"/>
        <v>274.37800000000004</v>
      </c>
      <c r="V334">
        <f t="shared" si="32"/>
        <v>2469.402</v>
      </c>
      <c r="W334">
        <f t="shared" si="33"/>
        <v>4</v>
      </c>
      <c r="X334">
        <f t="shared" si="34"/>
        <v>-274.37800000000016</v>
      </c>
      <c r="Y334">
        <f t="shared" si="35"/>
        <v>0</v>
      </c>
    </row>
    <row r="335" spans="1:25" x14ac:dyDescent="0.35">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c r="T335">
        <f t="shared" si="30"/>
        <v>622.09</v>
      </c>
      <c r="U335">
        <f t="shared" si="31"/>
        <v>0</v>
      </c>
      <c r="V335">
        <f t="shared" si="32"/>
        <v>622.09</v>
      </c>
      <c r="W335">
        <f t="shared" si="33"/>
        <v>5</v>
      </c>
      <c r="X335">
        <f t="shared" si="34"/>
        <v>0</v>
      </c>
      <c r="Y335">
        <f t="shared" si="35"/>
        <v>0</v>
      </c>
    </row>
    <row r="336" spans="1:25" x14ac:dyDescent="0.35">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c r="T336">
        <f t="shared" si="30"/>
        <v>1271.2</v>
      </c>
      <c r="U336">
        <f t="shared" si="31"/>
        <v>63.56</v>
      </c>
      <c r="V336">
        <f t="shared" si="32"/>
        <v>1207.6400000000001</v>
      </c>
      <c r="W336">
        <f t="shared" si="33"/>
        <v>5</v>
      </c>
      <c r="X336">
        <f t="shared" si="34"/>
        <v>-63.559999999999945</v>
      </c>
      <c r="Y336">
        <f t="shared" si="35"/>
        <v>0</v>
      </c>
    </row>
    <row r="337" spans="1:25" x14ac:dyDescent="0.35">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c r="T337">
        <f t="shared" si="30"/>
        <v>2161.75</v>
      </c>
      <c r="U337">
        <f t="shared" si="31"/>
        <v>216.17500000000001</v>
      </c>
      <c r="V337">
        <f t="shared" si="32"/>
        <v>1945.575</v>
      </c>
      <c r="W337">
        <f t="shared" si="33"/>
        <v>7</v>
      </c>
      <c r="X337">
        <f t="shared" si="34"/>
        <v>-216.17499999999995</v>
      </c>
      <c r="Y337">
        <f t="shared" si="35"/>
        <v>0</v>
      </c>
    </row>
    <row r="338" spans="1:25" x14ac:dyDescent="0.35">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c r="T338">
        <f t="shared" si="30"/>
        <v>11210</v>
      </c>
      <c r="U338">
        <f t="shared" si="31"/>
        <v>560.5</v>
      </c>
      <c r="V338">
        <f t="shared" si="32"/>
        <v>10649.5</v>
      </c>
      <c r="W338">
        <f t="shared" si="33"/>
        <v>3</v>
      </c>
      <c r="X338">
        <f t="shared" si="34"/>
        <v>-560.5</v>
      </c>
      <c r="Y338">
        <f t="shared" si="35"/>
        <v>0</v>
      </c>
    </row>
    <row r="339" spans="1:25" x14ac:dyDescent="0.35">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c r="T339">
        <f t="shared" si="30"/>
        <v>1663.75</v>
      </c>
      <c r="U339">
        <f t="shared" si="31"/>
        <v>166.375</v>
      </c>
      <c r="V339">
        <f t="shared" si="32"/>
        <v>1497.375</v>
      </c>
      <c r="W339">
        <f t="shared" si="33"/>
        <v>3</v>
      </c>
      <c r="X339">
        <f t="shared" si="34"/>
        <v>-166.375</v>
      </c>
      <c r="Y339">
        <f t="shared" si="35"/>
        <v>0</v>
      </c>
    </row>
    <row r="340" spans="1:25" x14ac:dyDescent="0.35">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c r="T340">
        <f t="shared" si="30"/>
        <v>614.37</v>
      </c>
      <c r="U340">
        <f t="shared" si="31"/>
        <v>61.437000000000005</v>
      </c>
      <c r="V340">
        <f t="shared" si="32"/>
        <v>552.93299999999999</v>
      </c>
      <c r="W340">
        <f t="shared" si="33"/>
        <v>3</v>
      </c>
      <c r="X340">
        <f t="shared" si="34"/>
        <v>-61.437000000000012</v>
      </c>
      <c r="Y340">
        <f t="shared" si="35"/>
        <v>0</v>
      </c>
    </row>
    <row r="341" spans="1:25" x14ac:dyDescent="0.35">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c r="T341">
        <f t="shared" si="30"/>
        <v>9384.32</v>
      </c>
      <c r="U341">
        <f t="shared" si="31"/>
        <v>0</v>
      </c>
      <c r="V341">
        <f t="shared" si="32"/>
        <v>9384.32</v>
      </c>
      <c r="W341">
        <f t="shared" si="33"/>
        <v>6</v>
      </c>
      <c r="X341">
        <f t="shared" si="34"/>
        <v>0</v>
      </c>
      <c r="Y341">
        <f t="shared" si="35"/>
        <v>0</v>
      </c>
    </row>
    <row r="342" spans="1:25" x14ac:dyDescent="0.35">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c r="T342">
        <f t="shared" si="30"/>
        <v>1677.28</v>
      </c>
      <c r="U342">
        <f t="shared" si="31"/>
        <v>0</v>
      </c>
      <c r="V342">
        <f t="shared" si="32"/>
        <v>1677.28</v>
      </c>
      <c r="W342">
        <f t="shared" si="33"/>
        <v>5</v>
      </c>
      <c r="X342">
        <f t="shared" si="34"/>
        <v>0</v>
      </c>
      <c r="Y342">
        <f t="shared" si="35"/>
        <v>0</v>
      </c>
    </row>
    <row r="343" spans="1:25" x14ac:dyDescent="0.35">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c r="T343">
        <f t="shared" si="30"/>
        <v>9575.68</v>
      </c>
      <c r="U343">
        <f t="shared" si="31"/>
        <v>957.5680000000001</v>
      </c>
      <c r="V343">
        <f t="shared" si="32"/>
        <v>8618.112000000001</v>
      </c>
      <c r="W343">
        <f t="shared" si="33"/>
        <v>9</v>
      </c>
      <c r="X343">
        <f t="shared" si="34"/>
        <v>-957.5679999999993</v>
      </c>
      <c r="Y343">
        <f t="shared" si="35"/>
        <v>0</v>
      </c>
    </row>
    <row r="344" spans="1:25" x14ac:dyDescent="0.35">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c r="T344">
        <f t="shared" si="30"/>
        <v>2943.12</v>
      </c>
      <c r="U344">
        <f t="shared" si="31"/>
        <v>147.15600000000001</v>
      </c>
      <c r="V344">
        <f t="shared" si="32"/>
        <v>2795.9639999999999</v>
      </c>
      <c r="W344">
        <f t="shared" si="33"/>
        <v>2</v>
      </c>
      <c r="X344">
        <f t="shared" si="34"/>
        <v>-147.15599999999995</v>
      </c>
      <c r="Y344">
        <f t="shared" si="35"/>
        <v>0</v>
      </c>
    </row>
    <row r="345" spans="1:25" x14ac:dyDescent="0.35">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c r="T345">
        <f t="shared" si="30"/>
        <v>3333.5</v>
      </c>
      <c r="U345">
        <f t="shared" si="31"/>
        <v>500.02499999999998</v>
      </c>
      <c r="V345">
        <f t="shared" si="32"/>
        <v>2833.4749999999999</v>
      </c>
      <c r="W345">
        <f t="shared" si="33"/>
        <v>5</v>
      </c>
      <c r="X345">
        <f t="shared" si="34"/>
        <v>-500.02500000000009</v>
      </c>
      <c r="Y345">
        <f t="shared" si="35"/>
        <v>0</v>
      </c>
    </row>
    <row r="346" spans="1:25" x14ac:dyDescent="0.35">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c r="T346">
        <f t="shared" si="30"/>
        <v>3031.04</v>
      </c>
      <c r="U346">
        <f t="shared" si="31"/>
        <v>303.10399999999998</v>
      </c>
      <c r="V346">
        <f t="shared" si="32"/>
        <v>2727.9360000000001</v>
      </c>
      <c r="W346">
        <f t="shared" si="33"/>
        <v>8</v>
      </c>
      <c r="X346">
        <f t="shared" si="34"/>
        <v>-303.10399999999981</v>
      </c>
      <c r="Y346">
        <f t="shared" si="35"/>
        <v>0</v>
      </c>
    </row>
    <row r="347" spans="1:25" x14ac:dyDescent="0.35">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c r="T347">
        <f t="shared" si="30"/>
        <v>2030.3999999999999</v>
      </c>
      <c r="U347">
        <f t="shared" si="31"/>
        <v>101.52</v>
      </c>
      <c r="V347">
        <f t="shared" si="32"/>
        <v>1928.8799999999999</v>
      </c>
      <c r="W347">
        <f t="shared" si="33"/>
        <v>10</v>
      </c>
      <c r="X347">
        <f t="shared" si="34"/>
        <v>-101.51999999999998</v>
      </c>
      <c r="Y347">
        <f t="shared" si="35"/>
        <v>0</v>
      </c>
    </row>
    <row r="348" spans="1:25" x14ac:dyDescent="0.35">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c r="T348">
        <f t="shared" si="30"/>
        <v>721.21</v>
      </c>
      <c r="U348">
        <f t="shared" si="31"/>
        <v>72.121000000000009</v>
      </c>
      <c r="V348">
        <f t="shared" si="32"/>
        <v>649.08900000000006</v>
      </c>
      <c r="W348">
        <f t="shared" si="33"/>
        <v>7</v>
      </c>
      <c r="X348">
        <f t="shared" si="34"/>
        <v>-72.120999999999981</v>
      </c>
      <c r="Y348">
        <f t="shared" si="35"/>
        <v>0</v>
      </c>
    </row>
    <row r="349" spans="1:25" x14ac:dyDescent="0.35">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c r="T349">
        <f t="shared" si="30"/>
        <v>1136.22</v>
      </c>
      <c r="U349">
        <f t="shared" si="31"/>
        <v>170.43299999999999</v>
      </c>
      <c r="V349">
        <f t="shared" si="32"/>
        <v>965.78700000000003</v>
      </c>
      <c r="W349">
        <f t="shared" si="33"/>
        <v>2</v>
      </c>
      <c r="X349">
        <f t="shared" si="34"/>
        <v>-170.43299999999999</v>
      </c>
      <c r="Y349">
        <f t="shared" si="35"/>
        <v>0</v>
      </c>
    </row>
    <row r="350" spans="1:25" x14ac:dyDescent="0.35">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c r="T350">
        <f t="shared" si="30"/>
        <v>408.15000000000003</v>
      </c>
      <c r="U350">
        <f t="shared" si="31"/>
        <v>0</v>
      </c>
      <c r="V350">
        <f t="shared" si="32"/>
        <v>408.15000000000003</v>
      </c>
      <c r="W350">
        <f t="shared" si="33"/>
        <v>9</v>
      </c>
      <c r="X350">
        <f t="shared" si="34"/>
        <v>0</v>
      </c>
      <c r="Y350">
        <f t="shared" si="35"/>
        <v>0</v>
      </c>
    </row>
    <row r="351" spans="1:25" x14ac:dyDescent="0.35">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c r="T351">
        <f t="shared" si="30"/>
        <v>729.26</v>
      </c>
      <c r="U351">
        <f t="shared" si="31"/>
        <v>0</v>
      </c>
      <c r="V351">
        <f t="shared" si="32"/>
        <v>729.26</v>
      </c>
      <c r="W351">
        <f t="shared" si="33"/>
        <v>7</v>
      </c>
      <c r="X351">
        <f t="shared" si="34"/>
        <v>0</v>
      </c>
      <c r="Y351">
        <f t="shared" si="35"/>
        <v>0</v>
      </c>
    </row>
    <row r="352" spans="1:25" x14ac:dyDescent="0.35">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c r="T352">
        <f t="shared" si="30"/>
        <v>3990.0699999999997</v>
      </c>
      <c r="U352">
        <f t="shared" si="31"/>
        <v>0</v>
      </c>
      <c r="V352">
        <f t="shared" si="32"/>
        <v>3990.0699999999997</v>
      </c>
      <c r="W352">
        <f t="shared" si="33"/>
        <v>9</v>
      </c>
      <c r="X352">
        <f t="shared" si="34"/>
        <v>0</v>
      </c>
      <c r="Y352">
        <f t="shared" si="35"/>
        <v>0</v>
      </c>
    </row>
    <row r="353" spans="1:25" x14ac:dyDescent="0.35">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c r="T353">
        <f t="shared" si="30"/>
        <v>9998.3700000000008</v>
      </c>
      <c r="U353">
        <f t="shared" si="31"/>
        <v>0</v>
      </c>
      <c r="V353">
        <f t="shared" si="32"/>
        <v>9998.3700000000008</v>
      </c>
      <c r="W353">
        <f t="shared" si="33"/>
        <v>10</v>
      </c>
      <c r="X353">
        <f t="shared" si="34"/>
        <v>0</v>
      </c>
      <c r="Y353">
        <f t="shared" si="35"/>
        <v>0</v>
      </c>
    </row>
    <row r="354" spans="1:25" x14ac:dyDescent="0.35">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c r="T354">
        <f t="shared" si="30"/>
        <v>2356.08</v>
      </c>
      <c r="U354">
        <f t="shared" si="31"/>
        <v>353.41199999999998</v>
      </c>
      <c r="V354">
        <f t="shared" si="32"/>
        <v>2002.6679999999999</v>
      </c>
      <c r="W354">
        <f t="shared" si="33"/>
        <v>3</v>
      </c>
      <c r="X354">
        <f t="shared" si="34"/>
        <v>-353.41200000000003</v>
      </c>
      <c r="Y354">
        <f t="shared" si="35"/>
        <v>0</v>
      </c>
    </row>
    <row r="355" spans="1:25" x14ac:dyDescent="0.35">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c r="T355">
        <f t="shared" si="30"/>
        <v>8068.86</v>
      </c>
      <c r="U355">
        <f t="shared" si="31"/>
        <v>403.44299999999998</v>
      </c>
      <c r="V355">
        <f t="shared" si="32"/>
        <v>7665.4169999999995</v>
      </c>
      <c r="W355">
        <f t="shared" si="33"/>
        <v>4</v>
      </c>
      <c r="X355">
        <f t="shared" si="34"/>
        <v>-403.44300000000021</v>
      </c>
      <c r="Y355">
        <f t="shared" si="35"/>
        <v>0</v>
      </c>
    </row>
    <row r="356" spans="1:25" x14ac:dyDescent="0.35">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c r="T356">
        <f t="shared" si="30"/>
        <v>9925.9599999999991</v>
      </c>
      <c r="U356">
        <f t="shared" si="31"/>
        <v>992.596</v>
      </c>
      <c r="V356">
        <f t="shared" si="32"/>
        <v>8933.3639999999996</v>
      </c>
      <c r="W356">
        <f t="shared" si="33"/>
        <v>3</v>
      </c>
      <c r="X356">
        <f t="shared" si="34"/>
        <v>-992.59599999999955</v>
      </c>
      <c r="Y356">
        <f t="shared" si="35"/>
        <v>0</v>
      </c>
    </row>
    <row r="357" spans="1:25" x14ac:dyDescent="0.35">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c r="T357">
        <f t="shared" si="30"/>
        <v>195</v>
      </c>
      <c r="U357">
        <f t="shared" si="31"/>
        <v>19.5</v>
      </c>
      <c r="V357">
        <f t="shared" si="32"/>
        <v>175.5</v>
      </c>
      <c r="W357">
        <f t="shared" si="33"/>
        <v>3</v>
      </c>
      <c r="X357">
        <f t="shared" si="34"/>
        <v>-19.5</v>
      </c>
      <c r="Y357">
        <f t="shared" si="35"/>
        <v>0</v>
      </c>
    </row>
    <row r="358" spans="1:25" x14ac:dyDescent="0.35">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c r="T358">
        <f t="shared" si="30"/>
        <v>6732.64</v>
      </c>
      <c r="U358">
        <f t="shared" si="31"/>
        <v>1009.896</v>
      </c>
      <c r="V358">
        <f t="shared" si="32"/>
        <v>5722.7440000000006</v>
      </c>
      <c r="W358">
        <f t="shared" si="33"/>
        <v>7</v>
      </c>
      <c r="X358">
        <f t="shared" si="34"/>
        <v>-1009.8959999999997</v>
      </c>
      <c r="Y358">
        <f t="shared" si="35"/>
        <v>0</v>
      </c>
    </row>
    <row r="359" spans="1:25" x14ac:dyDescent="0.35">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c r="T359">
        <f t="shared" si="30"/>
        <v>6671.3399999999992</v>
      </c>
      <c r="U359">
        <f t="shared" si="31"/>
        <v>0</v>
      </c>
      <c r="V359">
        <f t="shared" si="32"/>
        <v>6671.3399999999992</v>
      </c>
      <c r="W359">
        <f t="shared" si="33"/>
        <v>2</v>
      </c>
      <c r="X359">
        <f t="shared" si="34"/>
        <v>0</v>
      </c>
      <c r="Y359">
        <f t="shared" si="35"/>
        <v>0</v>
      </c>
    </row>
    <row r="360" spans="1:25" x14ac:dyDescent="0.35">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c r="T360">
        <f t="shared" si="30"/>
        <v>9037.16</v>
      </c>
      <c r="U360">
        <f t="shared" si="31"/>
        <v>903.71600000000001</v>
      </c>
      <c r="V360">
        <f t="shared" si="32"/>
        <v>8133.4439999999995</v>
      </c>
      <c r="W360">
        <f t="shared" si="33"/>
        <v>4</v>
      </c>
      <c r="X360">
        <f t="shared" si="34"/>
        <v>-903.71600000000035</v>
      </c>
      <c r="Y360">
        <f t="shared" si="35"/>
        <v>0</v>
      </c>
    </row>
    <row r="361" spans="1:25" x14ac:dyDescent="0.35">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c r="T361">
        <f t="shared" si="30"/>
        <v>3098.42</v>
      </c>
      <c r="U361">
        <f t="shared" si="31"/>
        <v>309.84200000000004</v>
      </c>
      <c r="V361">
        <f t="shared" si="32"/>
        <v>2788.578</v>
      </c>
      <c r="W361">
        <f t="shared" si="33"/>
        <v>9</v>
      </c>
      <c r="X361">
        <f t="shared" si="34"/>
        <v>-309.8420000000001</v>
      </c>
      <c r="Y361">
        <f t="shared" si="35"/>
        <v>0</v>
      </c>
    </row>
    <row r="362" spans="1:25" x14ac:dyDescent="0.35">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c r="T362">
        <f t="shared" si="30"/>
        <v>3990.4199999999996</v>
      </c>
      <c r="U362">
        <f t="shared" si="31"/>
        <v>399.04199999999997</v>
      </c>
      <c r="V362">
        <f t="shared" si="32"/>
        <v>3591.3779999999997</v>
      </c>
      <c r="W362">
        <f t="shared" si="33"/>
        <v>3</v>
      </c>
      <c r="X362">
        <f t="shared" si="34"/>
        <v>-399.04199999999992</v>
      </c>
      <c r="Y362">
        <f t="shared" si="35"/>
        <v>0</v>
      </c>
    </row>
    <row r="363" spans="1:25" x14ac:dyDescent="0.35">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c r="T363">
        <f t="shared" si="30"/>
        <v>27.599999999999998</v>
      </c>
      <c r="U363">
        <f t="shared" si="31"/>
        <v>1.38</v>
      </c>
      <c r="V363">
        <f t="shared" si="32"/>
        <v>26.22</v>
      </c>
      <c r="W363">
        <f t="shared" si="33"/>
        <v>3</v>
      </c>
      <c r="X363">
        <f t="shared" si="34"/>
        <v>-1.379999999999999</v>
      </c>
      <c r="Y363">
        <f t="shared" si="35"/>
        <v>0</v>
      </c>
    </row>
    <row r="364" spans="1:25" x14ac:dyDescent="0.35">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c r="T364">
        <f t="shared" si="30"/>
        <v>7132.5</v>
      </c>
      <c r="U364">
        <f t="shared" si="31"/>
        <v>713.25</v>
      </c>
      <c r="V364">
        <f t="shared" si="32"/>
        <v>6419.25</v>
      </c>
      <c r="W364">
        <f t="shared" si="33"/>
        <v>5</v>
      </c>
      <c r="X364">
        <f t="shared" si="34"/>
        <v>-713.25</v>
      </c>
      <c r="Y364">
        <f t="shared" si="35"/>
        <v>0</v>
      </c>
    </row>
    <row r="365" spans="1:25" x14ac:dyDescent="0.35">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c r="T365">
        <f t="shared" si="30"/>
        <v>2545.2000000000003</v>
      </c>
      <c r="U365">
        <f t="shared" si="31"/>
        <v>127.26000000000002</v>
      </c>
      <c r="V365">
        <f t="shared" si="32"/>
        <v>2417.94</v>
      </c>
      <c r="W365">
        <f t="shared" si="33"/>
        <v>5</v>
      </c>
      <c r="X365">
        <f t="shared" si="34"/>
        <v>-127.26000000000022</v>
      </c>
      <c r="Y365">
        <f t="shared" si="35"/>
        <v>0</v>
      </c>
    </row>
    <row r="366" spans="1:25" x14ac:dyDescent="0.35">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c r="T366">
        <f t="shared" si="30"/>
        <v>3152.58</v>
      </c>
      <c r="U366">
        <f t="shared" si="31"/>
        <v>157.62900000000002</v>
      </c>
      <c r="V366">
        <f t="shared" si="32"/>
        <v>2994.951</v>
      </c>
      <c r="W366">
        <f t="shared" si="33"/>
        <v>6</v>
      </c>
      <c r="X366">
        <f t="shared" si="34"/>
        <v>-157.62899999999991</v>
      </c>
      <c r="Y366">
        <f t="shared" si="35"/>
        <v>0</v>
      </c>
    </row>
    <row r="367" spans="1:25" x14ac:dyDescent="0.35">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c r="T367">
        <f t="shared" si="30"/>
        <v>1915.05</v>
      </c>
      <c r="U367">
        <f t="shared" si="31"/>
        <v>191.505</v>
      </c>
      <c r="V367">
        <f t="shared" si="32"/>
        <v>1723.5450000000001</v>
      </c>
      <c r="W367">
        <f t="shared" si="33"/>
        <v>2</v>
      </c>
      <c r="X367">
        <f t="shared" si="34"/>
        <v>-191.50499999999988</v>
      </c>
      <c r="Y367">
        <f t="shared" si="35"/>
        <v>0</v>
      </c>
    </row>
    <row r="368" spans="1:25" x14ac:dyDescent="0.35">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c r="T368">
        <f t="shared" si="30"/>
        <v>8700.6</v>
      </c>
      <c r="U368">
        <f t="shared" si="31"/>
        <v>435.03000000000003</v>
      </c>
      <c r="V368">
        <f t="shared" si="32"/>
        <v>8265.57</v>
      </c>
      <c r="W368">
        <f t="shared" si="33"/>
        <v>7</v>
      </c>
      <c r="X368">
        <f t="shared" si="34"/>
        <v>-435.03000000000065</v>
      </c>
      <c r="Y368">
        <f t="shared" si="35"/>
        <v>0</v>
      </c>
    </row>
    <row r="369" spans="1:25" x14ac:dyDescent="0.35">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c r="T369">
        <f t="shared" si="30"/>
        <v>2223.44</v>
      </c>
      <c r="U369">
        <f t="shared" si="31"/>
        <v>111.17200000000001</v>
      </c>
      <c r="V369">
        <f t="shared" si="32"/>
        <v>2112.268</v>
      </c>
      <c r="W369">
        <f t="shared" si="33"/>
        <v>2</v>
      </c>
      <c r="X369">
        <f t="shared" si="34"/>
        <v>-111.17200000000003</v>
      </c>
      <c r="Y369">
        <f t="shared" si="35"/>
        <v>0</v>
      </c>
    </row>
    <row r="370" spans="1:25" x14ac:dyDescent="0.35">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c r="T370">
        <f t="shared" si="30"/>
        <v>3040.8</v>
      </c>
      <c r="U370">
        <f t="shared" si="31"/>
        <v>152.04000000000002</v>
      </c>
      <c r="V370">
        <f t="shared" si="32"/>
        <v>2888.76</v>
      </c>
      <c r="W370">
        <f t="shared" si="33"/>
        <v>8</v>
      </c>
      <c r="X370">
        <f t="shared" si="34"/>
        <v>-152.03999999999996</v>
      </c>
      <c r="Y370">
        <f t="shared" si="35"/>
        <v>0</v>
      </c>
    </row>
    <row r="371" spans="1:25" x14ac:dyDescent="0.35">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c r="T371">
        <f t="shared" si="30"/>
        <v>1414.8</v>
      </c>
      <c r="U371">
        <f t="shared" si="31"/>
        <v>0</v>
      </c>
      <c r="V371">
        <f t="shared" si="32"/>
        <v>1414.8</v>
      </c>
      <c r="W371">
        <f t="shared" si="33"/>
        <v>4</v>
      </c>
      <c r="X371">
        <f t="shared" si="34"/>
        <v>0</v>
      </c>
      <c r="Y371">
        <f t="shared" si="35"/>
        <v>0</v>
      </c>
    </row>
    <row r="372" spans="1:25" x14ac:dyDescent="0.35">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c r="T372">
        <f t="shared" si="30"/>
        <v>447.75</v>
      </c>
      <c r="U372">
        <f t="shared" si="31"/>
        <v>0</v>
      </c>
      <c r="V372">
        <f t="shared" si="32"/>
        <v>447.75</v>
      </c>
      <c r="W372">
        <f t="shared" si="33"/>
        <v>2</v>
      </c>
      <c r="X372">
        <f t="shared" si="34"/>
        <v>0</v>
      </c>
      <c r="Y372">
        <f t="shared" si="35"/>
        <v>0</v>
      </c>
    </row>
    <row r="373" spans="1:25" x14ac:dyDescent="0.35">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c r="T373">
        <f t="shared" si="30"/>
        <v>2972.36</v>
      </c>
      <c r="U373">
        <f t="shared" si="31"/>
        <v>297.23600000000005</v>
      </c>
      <c r="V373">
        <f t="shared" si="32"/>
        <v>2675.1240000000003</v>
      </c>
      <c r="W373">
        <f t="shared" si="33"/>
        <v>5</v>
      </c>
      <c r="X373">
        <f t="shared" si="34"/>
        <v>-297.23599999999988</v>
      </c>
      <c r="Y373">
        <f t="shared" si="35"/>
        <v>0</v>
      </c>
    </row>
    <row r="374" spans="1:25" x14ac:dyDescent="0.35">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c r="T374">
        <f t="shared" si="30"/>
        <v>1692.32</v>
      </c>
      <c r="U374">
        <f t="shared" si="31"/>
        <v>0</v>
      </c>
      <c r="V374">
        <f t="shared" si="32"/>
        <v>1692.32</v>
      </c>
      <c r="W374">
        <f t="shared" si="33"/>
        <v>8</v>
      </c>
      <c r="X374">
        <f t="shared" si="34"/>
        <v>0</v>
      </c>
      <c r="Y374">
        <f t="shared" si="35"/>
        <v>0</v>
      </c>
    </row>
    <row r="375" spans="1:25" x14ac:dyDescent="0.35">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c r="T375">
        <f t="shared" si="30"/>
        <v>3409.8</v>
      </c>
      <c r="U375">
        <f t="shared" si="31"/>
        <v>0</v>
      </c>
      <c r="V375">
        <f t="shared" si="32"/>
        <v>3409.8</v>
      </c>
      <c r="W375">
        <f t="shared" si="33"/>
        <v>9</v>
      </c>
      <c r="X375">
        <f t="shared" si="34"/>
        <v>0</v>
      </c>
      <c r="Y375">
        <f t="shared" si="35"/>
        <v>0</v>
      </c>
    </row>
    <row r="376" spans="1:25" x14ac:dyDescent="0.35">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c r="T376">
        <f t="shared" si="30"/>
        <v>1646.37</v>
      </c>
      <c r="U376">
        <f t="shared" si="31"/>
        <v>164.637</v>
      </c>
      <c r="V376">
        <f t="shared" si="32"/>
        <v>1481.7329999999999</v>
      </c>
      <c r="W376">
        <f t="shared" si="33"/>
        <v>4</v>
      </c>
      <c r="X376">
        <f t="shared" si="34"/>
        <v>-164.63699999999994</v>
      </c>
      <c r="Y376">
        <f t="shared" si="35"/>
        <v>0</v>
      </c>
    </row>
    <row r="377" spans="1:25" x14ac:dyDescent="0.35">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c r="T377">
        <f t="shared" si="30"/>
        <v>173.56</v>
      </c>
      <c r="U377">
        <f t="shared" si="31"/>
        <v>17.356000000000002</v>
      </c>
      <c r="V377">
        <f t="shared" si="32"/>
        <v>156.20400000000001</v>
      </c>
      <c r="W377">
        <f t="shared" si="33"/>
        <v>3</v>
      </c>
      <c r="X377">
        <f t="shared" si="34"/>
        <v>-17.355999999999995</v>
      </c>
      <c r="Y377">
        <f t="shared" si="35"/>
        <v>0</v>
      </c>
    </row>
    <row r="378" spans="1:25" x14ac:dyDescent="0.35">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c r="T378">
        <f t="shared" si="30"/>
        <v>2446.85</v>
      </c>
      <c r="U378">
        <f t="shared" si="31"/>
        <v>122.3425</v>
      </c>
      <c r="V378">
        <f t="shared" si="32"/>
        <v>2324.5074999999997</v>
      </c>
      <c r="W378">
        <f t="shared" si="33"/>
        <v>5</v>
      </c>
      <c r="X378">
        <f t="shared" si="34"/>
        <v>-122.3425000000002</v>
      </c>
      <c r="Y378">
        <f t="shared" si="35"/>
        <v>0</v>
      </c>
    </row>
    <row r="379" spans="1:25" x14ac:dyDescent="0.35">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c r="T379">
        <f t="shared" si="30"/>
        <v>2206.2599999999998</v>
      </c>
      <c r="U379">
        <f t="shared" si="31"/>
        <v>0</v>
      </c>
      <c r="V379">
        <f t="shared" si="32"/>
        <v>2206.2599999999998</v>
      </c>
      <c r="W379">
        <f t="shared" si="33"/>
        <v>9</v>
      </c>
      <c r="X379">
        <f t="shared" si="34"/>
        <v>0</v>
      </c>
      <c r="Y379">
        <f t="shared" si="35"/>
        <v>0</v>
      </c>
    </row>
    <row r="380" spans="1:25" x14ac:dyDescent="0.35">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c r="T380">
        <f t="shared" si="30"/>
        <v>423.08</v>
      </c>
      <c r="U380">
        <f t="shared" si="31"/>
        <v>21.154</v>
      </c>
      <c r="V380">
        <f t="shared" si="32"/>
        <v>401.92599999999999</v>
      </c>
      <c r="W380">
        <f t="shared" si="33"/>
        <v>4</v>
      </c>
      <c r="X380">
        <f t="shared" si="34"/>
        <v>-21.153999999999996</v>
      </c>
      <c r="Y380">
        <f t="shared" si="35"/>
        <v>0</v>
      </c>
    </row>
    <row r="381" spans="1:25" x14ac:dyDescent="0.35">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c r="T381">
        <f t="shared" si="30"/>
        <v>6418.58</v>
      </c>
      <c r="U381">
        <f t="shared" si="31"/>
        <v>962.78699999999992</v>
      </c>
      <c r="V381">
        <f t="shared" si="32"/>
        <v>5455.7929999999997</v>
      </c>
      <c r="W381">
        <f t="shared" si="33"/>
        <v>6</v>
      </c>
      <c r="X381">
        <f t="shared" si="34"/>
        <v>-962.78700000000026</v>
      </c>
      <c r="Y381">
        <f t="shared" si="35"/>
        <v>0</v>
      </c>
    </row>
    <row r="382" spans="1:25" x14ac:dyDescent="0.35">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c r="T382">
        <f t="shared" si="30"/>
        <v>2526.3000000000002</v>
      </c>
      <c r="U382">
        <f t="shared" si="31"/>
        <v>378.94499999999999</v>
      </c>
      <c r="V382">
        <f t="shared" si="32"/>
        <v>2147.355</v>
      </c>
      <c r="W382">
        <f t="shared" si="33"/>
        <v>7</v>
      </c>
      <c r="X382">
        <f t="shared" si="34"/>
        <v>-378.94500000000016</v>
      </c>
      <c r="Y382">
        <f t="shared" si="35"/>
        <v>0</v>
      </c>
    </row>
    <row r="383" spans="1:25" x14ac:dyDescent="0.35">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c r="T383">
        <f t="shared" si="30"/>
        <v>261.06</v>
      </c>
      <c r="U383">
        <f t="shared" si="31"/>
        <v>26.106000000000002</v>
      </c>
      <c r="V383">
        <f t="shared" si="32"/>
        <v>234.95400000000001</v>
      </c>
      <c r="W383">
        <f t="shared" si="33"/>
        <v>2</v>
      </c>
      <c r="X383">
        <f t="shared" si="34"/>
        <v>-26.105999999999995</v>
      </c>
      <c r="Y383">
        <f t="shared" si="35"/>
        <v>0</v>
      </c>
    </row>
    <row r="384" spans="1:25" x14ac:dyDescent="0.35">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c r="T384">
        <f t="shared" si="30"/>
        <v>73.92</v>
      </c>
      <c r="U384">
        <f t="shared" si="31"/>
        <v>3.6960000000000002</v>
      </c>
      <c r="V384">
        <f t="shared" si="32"/>
        <v>70.224000000000004</v>
      </c>
      <c r="W384">
        <f t="shared" si="33"/>
        <v>5</v>
      </c>
      <c r="X384">
        <f t="shared" si="34"/>
        <v>-3.695999999999998</v>
      </c>
      <c r="Y384">
        <f t="shared" si="35"/>
        <v>0</v>
      </c>
    </row>
    <row r="385" spans="1:25" x14ac:dyDescent="0.35">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c r="T385">
        <f t="shared" si="30"/>
        <v>558.76</v>
      </c>
      <c r="U385">
        <f t="shared" si="31"/>
        <v>55.876000000000005</v>
      </c>
      <c r="V385">
        <f t="shared" si="32"/>
        <v>502.88400000000001</v>
      </c>
      <c r="W385">
        <f t="shared" si="33"/>
        <v>5</v>
      </c>
      <c r="X385">
        <f t="shared" si="34"/>
        <v>-55.875999999999976</v>
      </c>
      <c r="Y385">
        <f t="shared" si="35"/>
        <v>0</v>
      </c>
    </row>
    <row r="386" spans="1:25" x14ac:dyDescent="0.35">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c r="T386">
        <f t="shared" si="30"/>
        <v>1870.2</v>
      </c>
      <c r="U386">
        <f t="shared" si="31"/>
        <v>187.02</v>
      </c>
      <c r="V386">
        <f t="shared" si="32"/>
        <v>1683.18</v>
      </c>
      <c r="W386">
        <f t="shared" si="33"/>
        <v>3</v>
      </c>
      <c r="X386">
        <f t="shared" si="34"/>
        <v>-187.01999999999998</v>
      </c>
      <c r="Y386">
        <f t="shared" si="35"/>
        <v>0</v>
      </c>
    </row>
    <row r="387" spans="1:25" x14ac:dyDescent="0.35">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c r="T387">
        <f t="shared" ref="T387:T450" si="36">D387*E387</f>
        <v>7678.2</v>
      </c>
      <c r="U387">
        <f t="shared" ref="U387:U450" si="37">T387*H387</f>
        <v>383.91</v>
      </c>
      <c r="V387">
        <f t="shared" ref="V387:V450" si="38">T387-U387</f>
        <v>7294.29</v>
      </c>
      <c r="W387">
        <f t="shared" ref="W387:W450" si="39">R387-Q387</f>
        <v>9</v>
      </c>
      <c r="X387">
        <f t="shared" ref="X387:X450" si="40">V387-(E387*D387)</f>
        <v>-383.90999999999985</v>
      </c>
      <c r="Y387">
        <f t="shared" ref="Y387:Y450" si="41">IF(M387 = "Yes", -V387,0)</f>
        <v>0</v>
      </c>
    </row>
    <row r="388" spans="1:25" x14ac:dyDescent="0.35">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c r="T388">
        <f t="shared" si="36"/>
        <v>3259.7000000000003</v>
      </c>
      <c r="U388">
        <f t="shared" si="37"/>
        <v>0</v>
      </c>
      <c r="V388">
        <f t="shared" si="38"/>
        <v>3259.7000000000003</v>
      </c>
      <c r="W388">
        <f t="shared" si="39"/>
        <v>7</v>
      </c>
      <c r="X388">
        <f t="shared" si="40"/>
        <v>0</v>
      </c>
      <c r="Y388">
        <f t="shared" si="41"/>
        <v>0</v>
      </c>
    </row>
    <row r="389" spans="1:25" x14ac:dyDescent="0.35">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c r="T389">
        <f t="shared" si="36"/>
        <v>7978.44</v>
      </c>
      <c r="U389">
        <f t="shared" si="37"/>
        <v>0</v>
      </c>
      <c r="V389">
        <f t="shared" si="38"/>
        <v>7978.44</v>
      </c>
      <c r="W389">
        <f t="shared" si="39"/>
        <v>2</v>
      </c>
      <c r="X389">
        <f t="shared" si="40"/>
        <v>0</v>
      </c>
      <c r="Y389">
        <f t="shared" si="41"/>
        <v>0</v>
      </c>
    </row>
    <row r="390" spans="1:25" x14ac:dyDescent="0.35">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c r="T390">
        <f t="shared" si="36"/>
        <v>2426.9699999999998</v>
      </c>
      <c r="U390">
        <f t="shared" si="37"/>
        <v>0</v>
      </c>
      <c r="V390">
        <f t="shared" si="38"/>
        <v>2426.9699999999998</v>
      </c>
      <c r="W390">
        <f t="shared" si="39"/>
        <v>3</v>
      </c>
      <c r="X390">
        <f t="shared" si="40"/>
        <v>0</v>
      </c>
      <c r="Y390">
        <f t="shared" si="41"/>
        <v>0</v>
      </c>
    </row>
    <row r="391" spans="1:25" x14ac:dyDescent="0.35">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c r="T391">
        <f t="shared" si="36"/>
        <v>554.55999999999995</v>
      </c>
      <c r="U391">
        <f t="shared" si="37"/>
        <v>27.727999999999998</v>
      </c>
      <c r="V391">
        <f t="shared" si="38"/>
        <v>526.83199999999999</v>
      </c>
      <c r="W391">
        <f t="shared" si="39"/>
        <v>6</v>
      </c>
      <c r="X391">
        <f t="shared" si="40"/>
        <v>-27.727999999999952</v>
      </c>
      <c r="Y391">
        <f t="shared" si="41"/>
        <v>0</v>
      </c>
    </row>
    <row r="392" spans="1:25" x14ac:dyDescent="0.35">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c r="T392">
        <f t="shared" si="36"/>
        <v>2790.72</v>
      </c>
      <c r="U392">
        <f t="shared" si="37"/>
        <v>418.60799999999995</v>
      </c>
      <c r="V392">
        <f t="shared" si="38"/>
        <v>2372.1120000000001</v>
      </c>
      <c r="W392">
        <f t="shared" si="39"/>
        <v>3</v>
      </c>
      <c r="X392">
        <f t="shared" si="40"/>
        <v>-418.60799999999972</v>
      </c>
      <c r="Y392">
        <f t="shared" si="41"/>
        <v>0</v>
      </c>
    </row>
    <row r="393" spans="1:25" x14ac:dyDescent="0.35">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c r="T393">
        <f t="shared" si="36"/>
        <v>278.39999999999998</v>
      </c>
      <c r="U393">
        <f t="shared" si="37"/>
        <v>13.92</v>
      </c>
      <c r="V393">
        <f t="shared" si="38"/>
        <v>264.47999999999996</v>
      </c>
      <c r="W393">
        <f t="shared" si="39"/>
        <v>8</v>
      </c>
      <c r="X393">
        <f t="shared" si="40"/>
        <v>-13.920000000000016</v>
      </c>
      <c r="Y393">
        <f t="shared" si="41"/>
        <v>0</v>
      </c>
    </row>
    <row r="394" spans="1:25" x14ac:dyDescent="0.35">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c r="T394">
        <f t="shared" si="36"/>
        <v>716.17000000000007</v>
      </c>
      <c r="U394">
        <f t="shared" si="37"/>
        <v>107.42550000000001</v>
      </c>
      <c r="V394">
        <f t="shared" si="38"/>
        <v>608.74450000000002</v>
      </c>
      <c r="W394">
        <f t="shared" si="39"/>
        <v>3</v>
      </c>
      <c r="X394">
        <f t="shared" si="40"/>
        <v>-107.42550000000006</v>
      </c>
      <c r="Y394">
        <f t="shared" si="41"/>
        <v>0</v>
      </c>
    </row>
    <row r="395" spans="1:25" x14ac:dyDescent="0.35">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c r="T395">
        <f t="shared" si="36"/>
        <v>2679.4300000000003</v>
      </c>
      <c r="U395">
        <f t="shared" si="37"/>
        <v>401.91450000000003</v>
      </c>
      <c r="V395">
        <f t="shared" si="38"/>
        <v>2277.5155000000004</v>
      </c>
      <c r="W395">
        <f t="shared" si="39"/>
        <v>6</v>
      </c>
      <c r="X395">
        <f t="shared" si="40"/>
        <v>-401.91449999999986</v>
      </c>
      <c r="Y395">
        <f t="shared" si="41"/>
        <v>0</v>
      </c>
    </row>
    <row r="396" spans="1:25" x14ac:dyDescent="0.35">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c r="T396">
        <f t="shared" si="36"/>
        <v>6781.32</v>
      </c>
      <c r="U396">
        <f t="shared" si="37"/>
        <v>339.06600000000003</v>
      </c>
      <c r="V396">
        <f t="shared" si="38"/>
        <v>6442.2539999999999</v>
      </c>
      <c r="W396">
        <f t="shared" si="39"/>
        <v>10</v>
      </c>
      <c r="X396">
        <f t="shared" si="40"/>
        <v>-339.0659999999998</v>
      </c>
      <c r="Y396">
        <f t="shared" si="41"/>
        <v>0</v>
      </c>
    </row>
    <row r="397" spans="1:25" x14ac:dyDescent="0.35">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c r="T397">
        <f t="shared" si="36"/>
        <v>2697.42</v>
      </c>
      <c r="U397">
        <f t="shared" si="37"/>
        <v>0</v>
      </c>
      <c r="V397">
        <f t="shared" si="38"/>
        <v>2697.42</v>
      </c>
      <c r="W397">
        <f t="shared" si="39"/>
        <v>7</v>
      </c>
      <c r="X397">
        <f t="shared" si="40"/>
        <v>0</v>
      </c>
      <c r="Y397">
        <f t="shared" si="41"/>
        <v>0</v>
      </c>
    </row>
    <row r="398" spans="1:25" x14ac:dyDescent="0.35">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c r="T398">
        <f t="shared" si="36"/>
        <v>2007.09</v>
      </c>
      <c r="U398">
        <f t="shared" si="37"/>
        <v>0</v>
      </c>
      <c r="V398">
        <f t="shared" si="38"/>
        <v>2007.09</v>
      </c>
      <c r="W398">
        <f t="shared" si="39"/>
        <v>6</v>
      </c>
      <c r="X398">
        <f t="shared" si="40"/>
        <v>0</v>
      </c>
      <c r="Y398">
        <f t="shared" si="41"/>
        <v>0</v>
      </c>
    </row>
    <row r="399" spans="1:25" x14ac:dyDescent="0.35">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c r="T399">
        <f t="shared" si="36"/>
        <v>4086.7400000000002</v>
      </c>
      <c r="U399">
        <f t="shared" si="37"/>
        <v>613.01099999999997</v>
      </c>
      <c r="V399">
        <f t="shared" si="38"/>
        <v>3473.7290000000003</v>
      </c>
      <c r="W399">
        <f t="shared" si="39"/>
        <v>4</v>
      </c>
      <c r="X399">
        <f t="shared" si="40"/>
        <v>-613.01099999999997</v>
      </c>
      <c r="Y399">
        <f t="shared" si="41"/>
        <v>0</v>
      </c>
    </row>
    <row r="400" spans="1:25" x14ac:dyDescent="0.35">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c r="T400">
        <f t="shared" si="36"/>
        <v>1181.18</v>
      </c>
      <c r="U400">
        <f t="shared" si="37"/>
        <v>0</v>
      </c>
      <c r="V400">
        <f t="shared" si="38"/>
        <v>1181.18</v>
      </c>
      <c r="W400">
        <f t="shared" si="39"/>
        <v>5</v>
      </c>
      <c r="X400">
        <f t="shared" si="40"/>
        <v>0</v>
      </c>
      <c r="Y400">
        <f t="shared" si="41"/>
        <v>0</v>
      </c>
    </row>
    <row r="401" spans="1:25" x14ac:dyDescent="0.35">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c r="T401">
        <f t="shared" si="36"/>
        <v>436.2</v>
      </c>
      <c r="U401">
        <f t="shared" si="37"/>
        <v>0</v>
      </c>
      <c r="V401">
        <f t="shared" si="38"/>
        <v>436.2</v>
      </c>
      <c r="W401">
        <f t="shared" si="39"/>
        <v>6</v>
      </c>
      <c r="X401">
        <f t="shared" si="40"/>
        <v>0</v>
      </c>
      <c r="Y401">
        <f t="shared" si="41"/>
        <v>0</v>
      </c>
    </row>
    <row r="402" spans="1:25" x14ac:dyDescent="0.35">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c r="T402">
        <f t="shared" si="36"/>
        <v>2947.2</v>
      </c>
      <c r="U402">
        <f t="shared" si="37"/>
        <v>0</v>
      </c>
      <c r="V402">
        <f t="shared" si="38"/>
        <v>2947.2</v>
      </c>
      <c r="W402">
        <f t="shared" si="39"/>
        <v>4</v>
      </c>
      <c r="X402">
        <f t="shared" si="40"/>
        <v>0</v>
      </c>
      <c r="Y402">
        <f t="shared" si="41"/>
        <v>0</v>
      </c>
    </row>
    <row r="403" spans="1:25" x14ac:dyDescent="0.35">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c r="T403">
        <f t="shared" si="36"/>
        <v>5700.45</v>
      </c>
      <c r="U403">
        <f t="shared" si="37"/>
        <v>0</v>
      </c>
      <c r="V403">
        <f t="shared" si="38"/>
        <v>5700.45</v>
      </c>
      <c r="W403">
        <f t="shared" si="39"/>
        <v>3</v>
      </c>
      <c r="X403">
        <f t="shared" si="40"/>
        <v>0</v>
      </c>
      <c r="Y403">
        <f t="shared" si="41"/>
        <v>0</v>
      </c>
    </row>
    <row r="404" spans="1:25" x14ac:dyDescent="0.35">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c r="T404">
        <f t="shared" si="36"/>
        <v>1252.74</v>
      </c>
      <c r="U404">
        <f t="shared" si="37"/>
        <v>62.637</v>
      </c>
      <c r="V404">
        <f t="shared" si="38"/>
        <v>1190.1030000000001</v>
      </c>
      <c r="W404">
        <f t="shared" si="39"/>
        <v>6</v>
      </c>
      <c r="X404">
        <f t="shared" si="40"/>
        <v>-62.636999999999944</v>
      </c>
      <c r="Y404">
        <f t="shared" si="41"/>
        <v>0</v>
      </c>
    </row>
    <row r="405" spans="1:25" x14ac:dyDescent="0.35">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c r="T405">
        <f t="shared" si="36"/>
        <v>6482.55</v>
      </c>
      <c r="U405">
        <f t="shared" si="37"/>
        <v>972.38249999999994</v>
      </c>
      <c r="V405">
        <f t="shared" si="38"/>
        <v>5510.1675000000005</v>
      </c>
      <c r="W405">
        <f t="shared" si="39"/>
        <v>4</v>
      </c>
      <c r="X405">
        <f t="shared" si="40"/>
        <v>-972.38249999999971</v>
      </c>
      <c r="Y405">
        <f t="shared" si="41"/>
        <v>0</v>
      </c>
    </row>
    <row r="406" spans="1:25" x14ac:dyDescent="0.35">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c r="T406">
        <f t="shared" si="36"/>
        <v>6913.01</v>
      </c>
      <c r="U406">
        <f t="shared" si="37"/>
        <v>691.30100000000004</v>
      </c>
      <c r="V406">
        <f t="shared" si="38"/>
        <v>6221.7089999999998</v>
      </c>
      <c r="W406">
        <f t="shared" si="39"/>
        <v>2</v>
      </c>
      <c r="X406">
        <f t="shared" si="40"/>
        <v>-691.30100000000039</v>
      </c>
      <c r="Y406">
        <f t="shared" si="41"/>
        <v>0</v>
      </c>
    </row>
    <row r="407" spans="1:25" x14ac:dyDescent="0.35">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c r="T407">
        <f t="shared" si="36"/>
        <v>5758.87</v>
      </c>
      <c r="U407">
        <f t="shared" si="37"/>
        <v>287.94350000000003</v>
      </c>
      <c r="V407">
        <f t="shared" si="38"/>
        <v>5470.9264999999996</v>
      </c>
      <c r="W407">
        <f t="shared" si="39"/>
        <v>8</v>
      </c>
      <c r="X407">
        <f t="shared" si="40"/>
        <v>-287.94350000000031</v>
      </c>
      <c r="Y407">
        <f t="shared" si="41"/>
        <v>0</v>
      </c>
    </row>
    <row r="408" spans="1:25" x14ac:dyDescent="0.35">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c r="T408">
        <f t="shared" si="36"/>
        <v>7377.5</v>
      </c>
      <c r="U408">
        <f t="shared" si="37"/>
        <v>0</v>
      </c>
      <c r="V408">
        <f t="shared" si="38"/>
        <v>7377.5</v>
      </c>
      <c r="W408">
        <f t="shared" si="39"/>
        <v>3</v>
      </c>
      <c r="X408">
        <f t="shared" si="40"/>
        <v>0</v>
      </c>
      <c r="Y408">
        <f t="shared" si="41"/>
        <v>0</v>
      </c>
    </row>
    <row r="409" spans="1:25" x14ac:dyDescent="0.35">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c r="T409">
        <f t="shared" si="36"/>
        <v>7042.7999999999993</v>
      </c>
      <c r="U409">
        <f t="shared" si="37"/>
        <v>0</v>
      </c>
      <c r="V409">
        <f t="shared" si="38"/>
        <v>7042.7999999999993</v>
      </c>
      <c r="W409">
        <f t="shared" si="39"/>
        <v>7</v>
      </c>
      <c r="X409">
        <f t="shared" si="40"/>
        <v>0</v>
      </c>
      <c r="Y409">
        <f t="shared" si="41"/>
        <v>0</v>
      </c>
    </row>
    <row r="410" spans="1:25" x14ac:dyDescent="0.35">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c r="T410">
        <f t="shared" si="36"/>
        <v>396.09</v>
      </c>
      <c r="U410">
        <f t="shared" si="37"/>
        <v>59.413499999999992</v>
      </c>
      <c r="V410">
        <f t="shared" si="38"/>
        <v>336.67649999999998</v>
      </c>
      <c r="W410">
        <f t="shared" si="39"/>
        <v>6</v>
      </c>
      <c r="X410">
        <f t="shared" si="40"/>
        <v>-59.413499999999999</v>
      </c>
      <c r="Y410">
        <f t="shared" si="41"/>
        <v>0</v>
      </c>
    </row>
    <row r="411" spans="1:25" x14ac:dyDescent="0.35">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c r="T411">
        <f t="shared" si="36"/>
        <v>2348.7599999999998</v>
      </c>
      <c r="U411">
        <f t="shared" si="37"/>
        <v>117.43799999999999</v>
      </c>
      <c r="V411">
        <f t="shared" si="38"/>
        <v>2231.3219999999997</v>
      </c>
      <c r="W411">
        <f t="shared" si="39"/>
        <v>7</v>
      </c>
      <c r="X411">
        <f t="shared" si="40"/>
        <v>-117.4380000000001</v>
      </c>
      <c r="Y411">
        <f t="shared" si="41"/>
        <v>0</v>
      </c>
    </row>
    <row r="412" spans="1:25" x14ac:dyDescent="0.35">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c r="T412">
        <f t="shared" si="36"/>
        <v>2061.1999999999998</v>
      </c>
      <c r="U412">
        <f t="shared" si="37"/>
        <v>309.17999999999995</v>
      </c>
      <c r="V412">
        <f t="shared" si="38"/>
        <v>1752.02</v>
      </c>
      <c r="W412">
        <f t="shared" si="39"/>
        <v>5</v>
      </c>
      <c r="X412">
        <f t="shared" si="40"/>
        <v>-309.17999999999984</v>
      </c>
      <c r="Y412">
        <f t="shared" si="41"/>
        <v>0</v>
      </c>
    </row>
    <row r="413" spans="1:25" x14ac:dyDescent="0.35">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c r="T413">
        <f t="shared" si="36"/>
        <v>6143.5</v>
      </c>
      <c r="U413">
        <f t="shared" si="37"/>
        <v>921.52499999999998</v>
      </c>
      <c r="V413">
        <f t="shared" si="38"/>
        <v>5221.9750000000004</v>
      </c>
      <c r="W413">
        <f t="shared" si="39"/>
        <v>5</v>
      </c>
      <c r="X413">
        <f t="shared" si="40"/>
        <v>-921.52499999999964</v>
      </c>
      <c r="Y413">
        <f t="shared" si="41"/>
        <v>0</v>
      </c>
    </row>
    <row r="414" spans="1:25" x14ac:dyDescent="0.35">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c r="T414">
        <f t="shared" si="36"/>
        <v>701.36</v>
      </c>
      <c r="U414">
        <f t="shared" si="37"/>
        <v>105.20399999999999</v>
      </c>
      <c r="V414">
        <f t="shared" si="38"/>
        <v>596.15600000000006</v>
      </c>
      <c r="W414">
        <f t="shared" si="39"/>
        <v>3</v>
      </c>
      <c r="X414">
        <f t="shared" si="40"/>
        <v>-105.20399999999995</v>
      </c>
      <c r="Y414">
        <f t="shared" si="41"/>
        <v>0</v>
      </c>
    </row>
    <row r="415" spans="1:25" x14ac:dyDescent="0.35">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c r="T415">
        <f t="shared" si="36"/>
        <v>9095.8700000000008</v>
      </c>
      <c r="U415">
        <f t="shared" si="37"/>
        <v>0</v>
      </c>
      <c r="V415">
        <f t="shared" si="38"/>
        <v>9095.8700000000008</v>
      </c>
      <c r="W415">
        <f t="shared" si="39"/>
        <v>8</v>
      </c>
      <c r="X415">
        <f t="shared" si="40"/>
        <v>0</v>
      </c>
      <c r="Y415">
        <f t="shared" si="41"/>
        <v>0</v>
      </c>
    </row>
    <row r="416" spans="1:25" x14ac:dyDescent="0.35">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c r="T416">
        <f t="shared" si="36"/>
        <v>1826.9</v>
      </c>
      <c r="U416">
        <f t="shared" si="37"/>
        <v>274.03500000000003</v>
      </c>
      <c r="V416">
        <f t="shared" si="38"/>
        <v>1552.865</v>
      </c>
      <c r="W416">
        <f t="shared" si="39"/>
        <v>3</v>
      </c>
      <c r="X416">
        <f t="shared" si="40"/>
        <v>-274.03500000000008</v>
      </c>
      <c r="Y416">
        <f t="shared" si="41"/>
        <v>0</v>
      </c>
    </row>
    <row r="417" spans="1:25" x14ac:dyDescent="0.35">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c r="T417">
        <f t="shared" si="36"/>
        <v>3973.2999999999997</v>
      </c>
      <c r="U417">
        <f t="shared" si="37"/>
        <v>595.99499999999989</v>
      </c>
      <c r="V417">
        <f t="shared" si="38"/>
        <v>3377.3049999999998</v>
      </c>
      <c r="W417">
        <f t="shared" si="39"/>
        <v>6</v>
      </c>
      <c r="X417">
        <f t="shared" si="40"/>
        <v>-595.99499999999989</v>
      </c>
      <c r="Y417">
        <f t="shared" si="41"/>
        <v>0</v>
      </c>
    </row>
    <row r="418" spans="1:25" x14ac:dyDescent="0.35">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c r="T418">
        <f t="shared" si="36"/>
        <v>4097.17</v>
      </c>
      <c r="U418">
        <f t="shared" si="37"/>
        <v>409.71700000000004</v>
      </c>
      <c r="V418">
        <f t="shared" si="38"/>
        <v>3687.453</v>
      </c>
      <c r="W418">
        <f t="shared" si="39"/>
        <v>6</v>
      </c>
      <c r="X418">
        <f t="shared" si="40"/>
        <v>-409.7170000000001</v>
      </c>
      <c r="Y418">
        <f t="shared" si="41"/>
        <v>0</v>
      </c>
    </row>
    <row r="419" spans="1:25" x14ac:dyDescent="0.35">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c r="T419">
        <f t="shared" si="36"/>
        <v>1397.4</v>
      </c>
      <c r="U419">
        <f t="shared" si="37"/>
        <v>0</v>
      </c>
      <c r="V419">
        <f t="shared" si="38"/>
        <v>1397.4</v>
      </c>
      <c r="W419">
        <f t="shared" si="39"/>
        <v>10</v>
      </c>
      <c r="X419">
        <f t="shared" si="40"/>
        <v>0</v>
      </c>
      <c r="Y419">
        <f t="shared" si="41"/>
        <v>0</v>
      </c>
    </row>
    <row r="420" spans="1:25" x14ac:dyDescent="0.35">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c r="T420">
        <f t="shared" si="36"/>
        <v>2732.32</v>
      </c>
      <c r="U420">
        <f t="shared" si="37"/>
        <v>273.23200000000003</v>
      </c>
      <c r="V420">
        <f t="shared" si="38"/>
        <v>2459.0880000000002</v>
      </c>
      <c r="W420">
        <f t="shared" si="39"/>
        <v>6</v>
      </c>
      <c r="X420">
        <f t="shared" si="40"/>
        <v>-273.23199999999997</v>
      </c>
      <c r="Y420">
        <f t="shared" si="41"/>
        <v>0</v>
      </c>
    </row>
    <row r="421" spans="1:25" x14ac:dyDescent="0.35">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c r="T421">
        <f t="shared" si="36"/>
        <v>8.1999999999999993</v>
      </c>
      <c r="U421">
        <f t="shared" si="37"/>
        <v>1.2299999999999998</v>
      </c>
      <c r="V421">
        <f t="shared" si="38"/>
        <v>6.97</v>
      </c>
      <c r="W421">
        <f t="shared" si="39"/>
        <v>10</v>
      </c>
      <c r="X421">
        <f t="shared" si="40"/>
        <v>-1.2299999999999995</v>
      </c>
      <c r="Y421">
        <f t="shared" si="41"/>
        <v>0</v>
      </c>
    </row>
    <row r="422" spans="1:25" x14ac:dyDescent="0.35">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c r="T422">
        <f t="shared" si="36"/>
        <v>5109.3599999999997</v>
      </c>
      <c r="U422">
        <f t="shared" si="37"/>
        <v>510.93599999999998</v>
      </c>
      <c r="V422">
        <f t="shared" si="38"/>
        <v>4598.424</v>
      </c>
      <c r="W422">
        <f t="shared" si="39"/>
        <v>4</v>
      </c>
      <c r="X422">
        <f t="shared" si="40"/>
        <v>-510.93599999999969</v>
      </c>
      <c r="Y422">
        <f t="shared" si="41"/>
        <v>0</v>
      </c>
    </row>
    <row r="423" spans="1:25" x14ac:dyDescent="0.35">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c r="T423">
        <f t="shared" si="36"/>
        <v>2422.8000000000002</v>
      </c>
      <c r="U423">
        <f t="shared" si="37"/>
        <v>242.28000000000003</v>
      </c>
      <c r="V423">
        <f t="shared" si="38"/>
        <v>2180.52</v>
      </c>
      <c r="W423">
        <f t="shared" si="39"/>
        <v>9</v>
      </c>
      <c r="X423">
        <f t="shared" si="40"/>
        <v>-242.2800000000002</v>
      </c>
      <c r="Y423">
        <f t="shared" si="41"/>
        <v>0</v>
      </c>
    </row>
    <row r="424" spans="1:25" x14ac:dyDescent="0.35">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c r="T424">
        <f t="shared" si="36"/>
        <v>8514.4699999999993</v>
      </c>
      <c r="U424">
        <f t="shared" si="37"/>
        <v>0</v>
      </c>
      <c r="V424">
        <f t="shared" si="38"/>
        <v>8514.4699999999993</v>
      </c>
      <c r="W424">
        <f t="shared" si="39"/>
        <v>2</v>
      </c>
      <c r="X424">
        <f t="shared" si="40"/>
        <v>0</v>
      </c>
      <c r="Y424">
        <f t="shared" si="41"/>
        <v>0</v>
      </c>
    </row>
    <row r="425" spans="1:25" x14ac:dyDescent="0.35">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c r="T425">
        <f t="shared" si="36"/>
        <v>62.48</v>
      </c>
      <c r="U425">
        <f t="shared" si="37"/>
        <v>6.2480000000000002</v>
      </c>
      <c r="V425">
        <f t="shared" si="38"/>
        <v>56.231999999999999</v>
      </c>
      <c r="W425">
        <f t="shared" si="39"/>
        <v>2</v>
      </c>
      <c r="X425">
        <f t="shared" si="40"/>
        <v>-6.2479999999999976</v>
      </c>
      <c r="Y425">
        <f t="shared" si="41"/>
        <v>0</v>
      </c>
    </row>
    <row r="426" spans="1:25" x14ac:dyDescent="0.35">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c r="T426">
        <f t="shared" si="36"/>
        <v>3637.36</v>
      </c>
      <c r="U426">
        <f t="shared" si="37"/>
        <v>545.60400000000004</v>
      </c>
      <c r="V426">
        <f t="shared" si="38"/>
        <v>3091.7560000000003</v>
      </c>
      <c r="W426">
        <f t="shared" si="39"/>
        <v>9</v>
      </c>
      <c r="X426">
        <f t="shared" si="40"/>
        <v>-545.60399999999981</v>
      </c>
      <c r="Y426">
        <f t="shared" si="41"/>
        <v>0</v>
      </c>
    </row>
    <row r="427" spans="1:25" x14ac:dyDescent="0.35">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c r="T427">
        <f t="shared" si="36"/>
        <v>1226</v>
      </c>
      <c r="U427">
        <f t="shared" si="37"/>
        <v>183.9</v>
      </c>
      <c r="V427">
        <f t="shared" si="38"/>
        <v>1042.0999999999999</v>
      </c>
      <c r="W427">
        <f t="shared" si="39"/>
        <v>4</v>
      </c>
      <c r="X427">
        <f t="shared" si="40"/>
        <v>-183.90000000000009</v>
      </c>
      <c r="Y427">
        <f t="shared" si="41"/>
        <v>0</v>
      </c>
    </row>
    <row r="428" spans="1:25" x14ac:dyDescent="0.35">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c r="T428">
        <f t="shared" si="36"/>
        <v>2777.29</v>
      </c>
      <c r="U428">
        <f t="shared" si="37"/>
        <v>416.59350000000001</v>
      </c>
      <c r="V428">
        <f t="shared" si="38"/>
        <v>2360.6965</v>
      </c>
      <c r="W428">
        <f t="shared" si="39"/>
        <v>10</v>
      </c>
      <c r="X428">
        <f t="shared" si="40"/>
        <v>-416.59349999999995</v>
      </c>
      <c r="Y428">
        <f t="shared" si="41"/>
        <v>0</v>
      </c>
    </row>
    <row r="429" spans="1:25" x14ac:dyDescent="0.35">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c r="T429">
        <f t="shared" si="36"/>
        <v>8175.4400000000005</v>
      </c>
      <c r="U429">
        <f t="shared" si="37"/>
        <v>0</v>
      </c>
      <c r="V429">
        <f t="shared" si="38"/>
        <v>8175.4400000000005</v>
      </c>
      <c r="W429">
        <f t="shared" si="39"/>
        <v>9</v>
      </c>
      <c r="X429">
        <f t="shared" si="40"/>
        <v>0</v>
      </c>
      <c r="Y429">
        <f t="shared" si="41"/>
        <v>0</v>
      </c>
    </row>
    <row r="430" spans="1:25" x14ac:dyDescent="0.35">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c r="T430">
        <f t="shared" si="36"/>
        <v>2897.28</v>
      </c>
      <c r="U430">
        <f t="shared" si="37"/>
        <v>289.72800000000001</v>
      </c>
      <c r="V430">
        <f t="shared" si="38"/>
        <v>2607.5520000000001</v>
      </c>
      <c r="W430">
        <f t="shared" si="39"/>
        <v>3</v>
      </c>
      <c r="X430">
        <f t="shared" si="40"/>
        <v>-289.72800000000007</v>
      </c>
      <c r="Y430">
        <f t="shared" si="41"/>
        <v>0</v>
      </c>
    </row>
    <row r="431" spans="1:25" x14ac:dyDescent="0.35">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c r="T431">
        <f t="shared" si="36"/>
        <v>3319.52</v>
      </c>
      <c r="U431">
        <f t="shared" si="37"/>
        <v>0</v>
      </c>
      <c r="V431">
        <f t="shared" si="38"/>
        <v>3319.52</v>
      </c>
      <c r="W431">
        <f t="shared" si="39"/>
        <v>3</v>
      </c>
      <c r="X431">
        <f t="shared" si="40"/>
        <v>0</v>
      </c>
      <c r="Y431">
        <f t="shared" si="41"/>
        <v>0</v>
      </c>
    </row>
    <row r="432" spans="1:25" x14ac:dyDescent="0.35">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c r="T432">
        <f t="shared" si="36"/>
        <v>7075.52</v>
      </c>
      <c r="U432">
        <f t="shared" si="37"/>
        <v>0</v>
      </c>
      <c r="V432">
        <f t="shared" si="38"/>
        <v>7075.52</v>
      </c>
      <c r="W432">
        <f t="shared" si="39"/>
        <v>9</v>
      </c>
      <c r="X432">
        <f t="shared" si="40"/>
        <v>0</v>
      </c>
      <c r="Y432">
        <f t="shared" si="41"/>
        <v>0</v>
      </c>
    </row>
    <row r="433" spans="1:25" x14ac:dyDescent="0.35">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c r="T433">
        <f t="shared" si="36"/>
        <v>8335.4599999999991</v>
      </c>
      <c r="U433">
        <f t="shared" si="37"/>
        <v>833.54599999999994</v>
      </c>
      <c r="V433">
        <f t="shared" si="38"/>
        <v>7501.9139999999989</v>
      </c>
      <c r="W433">
        <f t="shared" si="39"/>
        <v>6</v>
      </c>
      <c r="X433">
        <f t="shared" si="40"/>
        <v>-833.54600000000028</v>
      </c>
      <c r="Y433">
        <f t="shared" si="41"/>
        <v>0</v>
      </c>
    </row>
    <row r="434" spans="1:25" x14ac:dyDescent="0.35">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c r="T434">
        <f t="shared" si="36"/>
        <v>1051.8000000000002</v>
      </c>
      <c r="U434">
        <f t="shared" si="37"/>
        <v>157.77000000000001</v>
      </c>
      <c r="V434">
        <f t="shared" si="38"/>
        <v>894.0300000000002</v>
      </c>
      <c r="W434">
        <f t="shared" si="39"/>
        <v>5</v>
      </c>
      <c r="X434">
        <f t="shared" si="40"/>
        <v>-157.76999999999998</v>
      </c>
      <c r="Y434">
        <f t="shared" si="41"/>
        <v>0</v>
      </c>
    </row>
    <row r="435" spans="1:25" x14ac:dyDescent="0.35">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c r="T435">
        <f t="shared" si="36"/>
        <v>2237.1299999999997</v>
      </c>
      <c r="U435">
        <f t="shared" si="37"/>
        <v>335.56949999999995</v>
      </c>
      <c r="V435">
        <f t="shared" si="38"/>
        <v>1901.5604999999996</v>
      </c>
      <c r="W435">
        <f t="shared" si="39"/>
        <v>3</v>
      </c>
      <c r="X435">
        <f t="shared" si="40"/>
        <v>-335.56950000000006</v>
      </c>
      <c r="Y435">
        <f t="shared" si="41"/>
        <v>0</v>
      </c>
    </row>
    <row r="436" spans="1:25" x14ac:dyDescent="0.35">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c r="T436">
        <f t="shared" si="36"/>
        <v>7602.15</v>
      </c>
      <c r="U436">
        <f t="shared" si="37"/>
        <v>1140.3225</v>
      </c>
      <c r="V436">
        <f t="shared" si="38"/>
        <v>6461.8274999999994</v>
      </c>
      <c r="W436">
        <f t="shared" si="39"/>
        <v>10</v>
      </c>
      <c r="X436">
        <f t="shared" si="40"/>
        <v>-1140.3225000000002</v>
      </c>
      <c r="Y436">
        <f t="shared" si="41"/>
        <v>0</v>
      </c>
    </row>
    <row r="437" spans="1:25" x14ac:dyDescent="0.35">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c r="T437">
        <f t="shared" si="36"/>
        <v>9147.36</v>
      </c>
      <c r="U437">
        <f t="shared" si="37"/>
        <v>457.36800000000005</v>
      </c>
      <c r="V437">
        <f t="shared" si="38"/>
        <v>8689.9920000000002</v>
      </c>
      <c r="W437">
        <f t="shared" si="39"/>
        <v>2</v>
      </c>
      <c r="X437">
        <f t="shared" si="40"/>
        <v>-457.36800000000039</v>
      </c>
      <c r="Y437">
        <f t="shared" si="41"/>
        <v>0</v>
      </c>
    </row>
    <row r="438" spans="1:25" x14ac:dyDescent="0.35">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c r="T438">
        <f t="shared" si="36"/>
        <v>3005.44</v>
      </c>
      <c r="U438">
        <f t="shared" si="37"/>
        <v>0</v>
      </c>
      <c r="V438">
        <f t="shared" si="38"/>
        <v>3005.44</v>
      </c>
      <c r="W438">
        <f t="shared" si="39"/>
        <v>2</v>
      </c>
      <c r="X438">
        <f t="shared" si="40"/>
        <v>0</v>
      </c>
      <c r="Y438">
        <f t="shared" si="41"/>
        <v>0</v>
      </c>
    </row>
    <row r="439" spans="1:25" x14ac:dyDescent="0.35">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c r="T439">
        <f t="shared" si="36"/>
        <v>7673.4000000000005</v>
      </c>
      <c r="U439">
        <f t="shared" si="37"/>
        <v>1151.01</v>
      </c>
      <c r="V439">
        <f t="shared" si="38"/>
        <v>6522.39</v>
      </c>
      <c r="W439">
        <f t="shared" si="39"/>
        <v>6</v>
      </c>
      <c r="X439">
        <f t="shared" si="40"/>
        <v>-1151.0100000000002</v>
      </c>
      <c r="Y439">
        <f t="shared" si="41"/>
        <v>0</v>
      </c>
    </row>
    <row r="440" spans="1:25" x14ac:dyDescent="0.35">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c r="T440">
        <f t="shared" si="36"/>
        <v>498.35</v>
      </c>
      <c r="U440">
        <f t="shared" si="37"/>
        <v>49.835000000000008</v>
      </c>
      <c r="V440">
        <f t="shared" si="38"/>
        <v>448.51499999999999</v>
      </c>
      <c r="W440">
        <f t="shared" si="39"/>
        <v>7</v>
      </c>
      <c r="X440">
        <f t="shared" si="40"/>
        <v>-49.835000000000036</v>
      </c>
      <c r="Y440">
        <f t="shared" si="41"/>
        <v>0</v>
      </c>
    </row>
    <row r="441" spans="1:25" x14ac:dyDescent="0.35">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c r="T441">
        <f t="shared" si="36"/>
        <v>7328.68</v>
      </c>
      <c r="U441">
        <f t="shared" si="37"/>
        <v>366.43400000000003</v>
      </c>
      <c r="V441">
        <f t="shared" si="38"/>
        <v>6962.2460000000001</v>
      </c>
      <c r="W441">
        <f t="shared" si="39"/>
        <v>4</v>
      </c>
      <c r="X441">
        <f t="shared" si="40"/>
        <v>-366.4340000000002</v>
      </c>
      <c r="Y441">
        <f t="shared" si="41"/>
        <v>0</v>
      </c>
    </row>
    <row r="442" spans="1:25" x14ac:dyDescent="0.35">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c r="T442">
        <f t="shared" si="36"/>
        <v>163.10999999999999</v>
      </c>
      <c r="U442">
        <f t="shared" si="37"/>
        <v>16.311</v>
      </c>
      <c r="V442">
        <f t="shared" si="38"/>
        <v>146.79899999999998</v>
      </c>
      <c r="W442">
        <f t="shared" si="39"/>
        <v>10</v>
      </c>
      <c r="X442">
        <f t="shared" si="40"/>
        <v>-16.311000000000007</v>
      </c>
      <c r="Y442">
        <f t="shared" si="41"/>
        <v>0</v>
      </c>
    </row>
    <row r="443" spans="1:25" x14ac:dyDescent="0.35">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c r="T443">
        <f t="shared" si="36"/>
        <v>2830.44</v>
      </c>
      <c r="U443">
        <f t="shared" si="37"/>
        <v>424.56599999999997</v>
      </c>
      <c r="V443">
        <f t="shared" si="38"/>
        <v>2405.8740000000003</v>
      </c>
      <c r="W443">
        <f t="shared" si="39"/>
        <v>8</v>
      </c>
      <c r="X443">
        <f t="shared" si="40"/>
        <v>-424.5659999999998</v>
      </c>
      <c r="Y443">
        <f t="shared" si="41"/>
        <v>0</v>
      </c>
    </row>
    <row r="444" spans="1:25" x14ac:dyDescent="0.35">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c r="T444">
        <f t="shared" si="36"/>
        <v>6123.89</v>
      </c>
      <c r="U444">
        <f t="shared" si="37"/>
        <v>918.58350000000007</v>
      </c>
      <c r="V444">
        <f t="shared" si="38"/>
        <v>5205.3065000000006</v>
      </c>
      <c r="W444">
        <f t="shared" si="39"/>
        <v>2</v>
      </c>
      <c r="X444">
        <f t="shared" si="40"/>
        <v>-918.58349999999973</v>
      </c>
      <c r="Y444">
        <f t="shared" si="41"/>
        <v>0</v>
      </c>
    </row>
    <row r="445" spans="1:25" x14ac:dyDescent="0.35">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c r="T445">
        <f t="shared" si="36"/>
        <v>1506.18</v>
      </c>
      <c r="U445">
        <f t="shared" si="37"/>
        <v>150.61800000000002</v>
      </c>
      <c r="V445">
        <f t="shared" si="38"/>
        <v>1355.5620000000001</v>
      </c>
      <c r="W445">
        <f t="shared" si="39"/>
        <v>9</v>
      </c>
      <c r="X445">
        <f t="shared" si="40"/>
        <v>-150.61799999999994</v>
      </c>
      <c r="Y445">
        <f t="shared" si="41"/>
        <v>0</v>
      </c>
    </row>
    <row r="446" spans="1:25" x14ac:dyDescent="0.35">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c r="T446">
        <f t="shared" si="36"/>
        <v>7168.68</v>
      </c>
      <c r="U446">
        <f t="shared" si="37"/>
        <v>716.86800000000005</v>
      </c>
      <c r="V446">
        <f t="shared" si="38"/>
        <v>6451.8119999999999</v>
      </c>
      <c r="W446">
        <f t="shared" si="39"/>
        <v>6</v>
      </c>
      <c r="X446">
        <f t="shared" si="40"/>
        <v>-716.86800000000039</v>
      </c>
      <c r="Y446">
        <f t="shared" si="41"/>
        <v>0</v>
      </c>
    </row>
    <row r="447" spans="1:25" x14ac:dyDescent="0.35">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c r="T447">
        <f t="shared" si="36"/>
        <v>2339.1999999999998</v>
      </c>
      <c r="U447">
        <f t="shared" si="37"/>
        <v>233.92</v>
      </c>
      <c r="V447">
        <f t="shared" si="38"/>
        <v>2105.2799999999997</v>
      </c>
      <c r="W447">
        <f t="shared" si="39"/>
        <v>8</v>
      </c>
      <c r="X447">
        <f t="shared" si="40"/>
        <v>-233.92000000000007</v>
      </c>
      <c r="Y447">
        <f t="shared" si="41"/>
        <v>0</v>
      </c>
    </row>
    <row r="448" spans="1:25" x14ac:dyDescent="0.35">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c r="T448">
        <f t="shared" si="36"/>
        <v>8494</v>
      </c>
      <c r="U448">
        <f t="shared" si="37"/>
        <v>1274.0999999999999</v>
      </c>
      <c r="V448">
        <f t="shared" si="38"/>
        <v>7219.9</v>
      </c>
      <c r="W448">
        <f t="shared" si="39"/>
        <v>8</v>
      </c>
      <c r="X448">
        <f t="shared" si="40"/>
        <v>-1274.1000000000004</v>
      </c>
      <c r="Y448">
        <f t="shared" si="41"/>
        <v>0</v>
      </c>
    </row>
    <row r="449" spans="1:25" x14ac:dyDescent="0.35">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c r="T449">
        <f t="shared" si="36"/>
        <v>2867.52</v>
      </c>
      <c r="U449">
        <f t="shared" si="37"/>
        <v>286.75200000000001</v>
      </c>
      <c r="V449">
        <f t="shared" si="38"/>
        <v>2580.768</v>
      </c>
      <c r="W449">
        <f t="shared" si="39"/>
        <v>3</v>
      </c>
      <c r="X449">
        <f t="shared" si="40"/>
        <v>-286.75199999999995</v>
      </c>
      <c r="Y449">
        <f t="shared" si="41"/>
        <v>0</v>
      </c>
    </row>
    <row r="450" spans="1:25" x14ac:dyDescent="0.35">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c r="T450">
        <f t="shared" si="36"/>
        <v>1783.92</v>
      </c>
      <c r="U450">
        <f t="shared" si="37"/>
        <v>0</v>
      </c>
      <c r="V450">
        <f t="shared" si="38"/>
        <v>1783.92</v>
      </c>
      <c r="W450">
        <f t="shared" si="39"/>
        <v>8</v>
      </c>
      <c r="X450">
        <f t="shared" si="40"/>
        <v>0</v>
      </c>
      <c r="Y450">
        <f t="shared" si="41"/>
        <v>0</v>
      </c>
    </row>
    <row r="451" spans="1:25" x14ac:dyDescent="0.35">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c r="T451">
        <f t="shared" ref="T451:T514" si="42">D451*E451</f>
        <v>7366.88</v>
      </c>
      <c r="U451">
        <f t="shared" ref="U451:U514" si="43">T451*H451</f>
        <v>1105.0319999999999</v>
      </c>
      <c r="V451">
        <f t="shared" ref="V451:V514" si="44">T451-U451</f>
        <v>6261.848</v>
      </c>
      <c r="W451">
        <f t="shared" ref="W451:W514" si="45">R451-Q451</f>
        <v>7</v>
      </c>
      <c r="X451">
        <f t="shared" ref="X451:X514" si="46">V451-(E451*D451)</f>
        <v>-1105.0320000000002</v>
      </c>
      <c r="Y451">
        <f t="shared" ref="Y451:Y514" si="47">IF(M451 = "Yes", -V451,0)</f>
        <v>0</v>
      </c>
    </row>
    <row r="452" spans="1:25" x14ac:dyDescent="0.35">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c r="T452">
        <f t="shared" si="42"/>
        <v>1671.85</v>
      </c>
      <c r="U452">
        <f t="shared" si="43"/>
        <v>83.592500000000001</v>
      </c>
      <c r="V452">
        <f t="shared" si="44"/>
        <v>1588.2574999999999</v>
      </c>
      <c r="W452">
        <f t="shared" si="45"/>
        <v>5</v>
      </c>
      <c r="X452">
        <f t="shared" si="46"/>
        <v>-83.592499999999973</v>
      </c>
      <c r="Y452">
        <f t="shared" si="47"/>
        <v>0</v>
      </c>
    </row>
    <row r="453" spans="1:25" x14ac:dyDescent="0.35">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c r="T453">
        <f t="shared" si="42"/>
        <v>1799.16</v>
      </c>
      <c r="U453">
        <f t="shared" si="43"/>
        <v>269.87400000000002</v>
      </c>
      <c r="V453">
        <f t="shared" si="44"/>
        <v>1529.2860000000001</v>
      </c>
      <c r="W453">
        <f t="shared" si="45"/>
        <v>6</v>
      </c>
      <c r="X453">
        <f t="shared" si="46"/>
        <v>-269.87400000000002</v>
      </c>
      <c r="Y453">
        <f t="shared" si="47"/>
        <v>0</v>
      </c>
    </row>
    <row r="454" spans="1:25" x14ac:dyDescent="0.35">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c r="T454">
        <f t="shared" si="42"/>
        <v>4288.24</v>
      </c>
      <c r="U454">
        <f t="shared" si="43"/>
        <v>0</v>
      </c>
      <c r="V454">
        <f t="shared" si="44"/>
        <v>4288.24</v>
      </c>
      <c r="W454">
        <f t="shared" si="45"/>
        <v>3</v>
      </c>
      <c r="X454">
        <f t="shared" si="46"/>
        <v>0</v>
      </c>
      <c r="Y454">
        <f t="shared" si="47"/>
        <v>0</v>
      </c>
    </row>
    <row r="455" spans="1:25" x14ac:dyDescent="0.35">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c r="T455">
        <f t="shared" si="42"/>
        <v>4903.25</v>
      </c>
      <c r="U455">
        <f t="shared" si="43"/>
        <v>490.32500000000005</v>
      </c>
      <c r="V455">
        <f t="shared" si="44"/>
        <v>4412.9250000000002</v>
      </c>
      <c r="W455">
        <f t="shared" si="45"/>
        <v>8</v>
      </c>
      <c r="X455">
        <f t="shared" si="46"/>
        <v>-490.32499999999982</v>
      </c>
      <c r="Y455">
        <f t="shared" si="47"/>
        <v>0</v>
      </c>
    </row>
    <row r="456" spans="1:25" x14ac:dyDescent="0.35">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c r="T456">
        <f t="shared" si="42"/>
        <v>1743.1200000000001</v>
      </c>
      <c r="U456">
        <f t="shared" si="43"/>
        <v>261.46800000000002</v>
      </c>
      <c r="V456">
        <f t="shared" si="44"/>
        <v>1481.652</v>
      </c>
      <c r="W456">
        <f t="shared" si="45"/>
        <v>4</v>
      </c>
      <c r="X456">
        <f t="shared" si="46"/>
        <v>-261.46800000000007</v>
      </c>
      <c r="Y456">
        <f t="shared" si="47"/>
        <v>0</v>
      </c>
    </row>
    <row r="457" spans="1:25" x14ac:dyDescent="0.35">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c r="T457">
        <f t="shared" si="42"/>
        <v>528.30999999999995</v>
      </c>
      <c r="U457">
        <f t="shared" si="43"/>
        <v>52.830999999999996</v>
      </c>
      <c r="V457">
        <f t="shared" si="44"/>
        <v>475.47899999999993</v>
      </c>
      <c r="W457">
        <f t="shared" si="45"/>
        <v>10</v>
      </c>
      <c r="X457">
        <f t="shared" si="46"/>
        <v>-52.831000000000017</v>
      </c>
      <c r="Y457">
        <f t="shared" si="47"/>
        <v>0</v>
      </c>
    </row>
    <row r="458" spans="1:25" x14ac:dyDescent="0.35">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c r="T458">
        <f t="shared" si="42"/>
        <v>1024.48</v>
      </c>
      <c r="U458">
        <f t="shared" si="43"/>
        <v>0</v>
      </c>
      <c r="V458">
        <f t="shared" si="44"/>
        <v>1024.48</v>
      </c>
      <c r="W458">
        <f t="shared" si="45"/>
        <v>10</v>
      </c>
      <c r="X458">
        <f t="shared" si="46"/>
        <v>0</v>
      </c>
      <c r="Y458">
        <f t="shared" si="47"/>
        <v>0</v>
      </c>
    </row>
    <row r="459" spans="1:25" x14ac:dyDescent="0.35">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c r="T459">
        <f t="shared" si="42"/>
        <v>2331.81</v>
      </c>
      <c r="U459">
        <f t="shared" si="43"/>
        <v>116.59050000000001</v>
      </c>
      <c r="V459">
        <f t="shared" si="44"/>
        <v>2215.2195000000002</v>
      </c>
      <c r="W459">
        <f t="shared" si="45"/>
        <v>8</v>
      </c>
      <c r="X459">
        <f t="shared" si="46"/>
        <v>-116.59049999999979</v>
      </c>
      <c r="Y459">
        <f t="shared" si="47"/>
        <v>0</v>
      </c>
    </row>
    <row r="460" spans="1:25" x14ac:dyDescent="0.35">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c r="T460">
        <f t="shared" si="42"/>
        <v>9331.85</v>
      </c>
      <c r="U460">
        <f t="shared" si="43"/>
        <v>0</v>
      </c>
      <c r="V460">
        <f t="shared" si="44"/>
        <v>9331.85</v>
      </c>
      <c r="W460">
        <f t="shared" si="45"/>
        <v>10</v>
      </c>
      <c r="X460">
        <f t="shared" si="46"/>
        <v>0</v>
      </c>
      <c r="Y460">
        <f t="shared" si="47"/>
        <v>0</v>
      </c>
    </row>
    <row r="461" spans="1:25" x14ac:dyDescent="0.35">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c r="T461">
        <f t="shared" si="42"/>
        <v>1801.6999999999998</v>
      </c>
      <c r="U461">
        <f t="shared" si="43"/>
        <v>0</v>
      </c>
      <c r="V461">
        <f t="shared" si="44"/>
        <v>1801.6999999999998</v>
      </c>
      <c r="W461">
        <f t="shared" si="45"/>
        <v>5</v>
      </c>
      <c r="X461">
        <f t="shared" si="46"/>
        <v>0</v>
      </c>
      <c r="Y461">
        <f t="shared" si="47"/>
        <v>0</v>
      </c>
    </row>
    <row r="462" spans="1:25" x14ac:dyDescent="0.35">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c r="T462">
        <f t="shared" si="42"/>
        <v>5936</v>
      </c>
      <c r="U462">
        <f t="shared" si="43"/>
        <v>593.6</v>
      </c>
      <c r="V462">
        <f t="shared" si="44"/>
        <v>5342.4</v>
      </c>
      <c r="W462">
        <f t="shared" si="45"/>
        <v>7</v>
      </c>
      <c r="X462">
        <f t="shared" si="46"/>
        <v>-593.60000000000036</v>
      </c>
      <c r="Y462">
        <f t="shared" si="47"/>
        <v>0</v>
      </c>
    </row>
    <row r="463" spans="1:25" x14ac:dyDescent="0.35">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c r="T463">
        <f t="shared" si="42"/>
        <v>1798.2599999999998</v>
      </c>
      <c r="U463">
        <f t="shared" si="43"/>
        <v>179.82599999999999</v>
      </c>
      <c r="V463">
        <f t="shared" si="44"/>
        <v>1618.4339999999997</v>
      </c>
      <c r="W463">
        <f t="shared" si="45"/>
        <v>2</v>
      </c>
      <c r="X463">
        <f t="shared" si="46"/>
        <v>-179.82600000000002</v>
      </c>
      <c r="Y463">
        <f t="shared" si="47"/>
        <v>0</v>
      </c>
    </row>
    <row r="464" spans="1:25" x14ac:dyDescent="0.35">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c r="T464">
        <f t="shared" si="42"/>
        <v>374.33</v>
      </c>
      <c r="U464">
        <f t="shared" si="43"/>
        <v>0</v>
      </c>
      <c r="V464">
        <f t="shared" si="44"/>
        <v>374.33</v>
      </c>
      <c r="W464">
        <f t="shared" si="45"/>
        <v>10</v>
      </c>
      <c r="X464">
        <f t="shared" si="46"/>
        <v>0</v>
      </c>
      <c r="Y464">
        <f t="shared" si="47"/>
        <v>0</v>
      </c>
    </row>
    <row r="465" spans="1:25" x14ac:dyDescent="0.35">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c r="T465">
        <f t="shared" si="42"/>
        <v>7654.4</v>
      </c>
      <c r="U465">
        <f t="shared" si="43"/>
        <v>1148.1599999999999</v>
      </c>
      <c r="V465">
        <f t="shared" si="44"/>
        <v>6506.24</v>
      </c>
      <c r="W465">
        <f t="shared" si="45"/>
        <v>7</v>
      </c>
      <c r="X465">
        <f t="shared" si="46"/>
        <v>-1148.1599999999999</v>
      </c>
      <c r="Y465">
        <f t="shared" si="47"/>
        <v>0</v>
      </c>
    </row>
    <row r="466" spans="1:25" x14ac:dyDescent="0.35">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c r="T466">
        <f t="shared" si="42"/>
        <v>2579.7199999999998</v>
      </c>
      <c r="U466">
        <f t="shared" si="43"/>
        <v>0</v>
      </c>
      <c r="V466">
        <f t="shared" si="44"/>
        <v>2579.7199999999998</v>
      </c>
      <c r="W466">
        <f t="shared" si="45"/>
        <v>5</v>
      </c>
      <c r="X466">
        <f t="shared" si="46"/>
        <v>0</v>
      </c>
      <c r="Y466">
        <f t="shared" si="47"/>
        <v>0</v>
      </c>
    </row>
    <row r="467" spans="1:25" x14ac:dyDescent="0.35">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c r="T467">
        <f t="shared" si="42"/>
        <v>4610.3999999999996</v>
      </c>
      <c r="U467">
        <f t="shared" si="43"/>
        <v>0</v>
      </c>
      <c r="V467">
        <f t="shared" si="44"/>
        <v>4610.3999999999996</v>
      </c>
      <c r="W467">
        <f t="shared" si="45"/>
        <v>3</v>
      </c>
      <c r="X467">
        <f t="shared" si="46"/>
        <v>0</v>
      </c>
      <c r="Y467">
        <f t="shared" si="47"/>
        <v>0</v>
      </c>
    </row>
    <row r="468" spans="1:25" x14ac:dyDescent="0.35">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c r="T468">
        <f t="shared" si="42"/>
        <v>1901.96</v>
      </c>
      <c r="U468">
        <f t="shared" si="43"/>
        <v>285.29399999999998</v>
      </c>
      <c r="V468">
        <f t="shared" si="44"/>
        <v>1616.6660000000002</v>
      </c>
      <c r="W468">
        <f t="shared" si="45"/>
        <v>4</v>
      </c>
      <c r="X468">
        <f t="shared" si="46"/>
        <v>-285.29399999999987</v>
      </c>
      <c r="Y468">
        <f t="shared" si="47"/>
        <v>0</v>
      </c>
    </row>
    <row r="469" spans="1:25" x14ac:dyDescent="0.35">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c r="T469">
        <f t="shared" si="42"/>
        <v>1217.82</v>
      </c>
      <c r="U469">
        <f t="shared" si="43"/>
        <v>121.782</v>
      </c>
      <c r="V469">
        <f t="shared" si="44"/>
        <v>1096.038</v>
      </c>
      <c r="W469">
        <f t="shared" si="45"/>
        <v>10</v>
      </c>
      <c r="X469">
        <f t="shared" si="46"/>
        <v>-121.78199999999993</v>
      </c>
      <c r="Y469">
        <f t="shared" si="47"/>
        <v>0</v>
      </c>
    </row>
    <row r="470" spans="1:25" x14ac:dyDescent="0.35">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c r="T470">
        <f t="shared" si="42"/>
        <v>2434.14</v>
      </c>
      <c r="U470">
        <f t="shared" si="43"/>
        <v>0</v>
      </c>
      <c r="V470">
        <f t="shared" si="44"/>
        <v>2434.14</v>
      </c>
      <c r="W470">
        <f t="shared" si="45"/>
        <v>5</v>
      </c>
      <c r="X470">
        <f t="shared" si="46"/>
        <v>0</v>
      </c>
      <c r="Y470">
        <f t="shared" si="47"/>
        <v>0</v>
      </c>
    </row>
    <row r="471" spans="1:25" x14ac:dyDescent="0.35">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c r="T471">
        <f t="shared" si="42"/>
        <v>7128</v>
      </c>
      <c r="U471">
        <f t="shared" si="43"/>
        <v>356.40000000000003</v>
      </c>
      <c r="V471">
        <f t="shared" si="44"/>
        <v>6771.6</v>
      </c>
      <c r="W471">
        <f t="shared" si="45"/>
        <v>6</v>
      </c>
      <c r="X471">
        <f t="shared" si="46"/>
        <v>-356.39999999999964</v>
      </c>
      <c r="Y471">
        <f t="shared" si="47"/>
        <v>0</v>
      </c>
    </row>
    <row r="472" spans="1:25" x14ac:dyDescent="0.35">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c r="T472">
        <f t="shared" si="42"/>
        <v>884.16000000000008</v>
      </c>
      <c r="U472">
        <f t="shared" si="43"/>
        <v>44.208000000000006</v>
      </c>
      <c r="V472">
        <f t="shared" si="44"/>
        <v>839.95200000000011</v>
      </c>
      <c r="W472">
        <f t="shared" si="45"/>
        <v>3</v>
      </c>
      <c r="X472">
        <f t="shared" si="46"/>
        <v>-44.20799999999997</v>
      </c>
      <c r="Y472">
        <f t="shared" si="47"/>
        <v>0</v>
      </c>
    </row>
    <row r="473" spans="1:25" x14ac:dyDescent="0.35">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c r="T473">
        <f t="shared" si="42"/>
        <v>11077</v>
      </c>
      <c r="U473">
        <f t="shared" si="43"/>
        <v>0</v>
      </c>
      <c r="V473">
        <f t="shared" si="44"/>
        <v>11077</v>
      </c>
      <c r="W473">
        <f t="shared" si="45"/>
        <v>8</v>
      </c>
      <c r="X473">
        <f t="shared" si="46"/>
        <v>0</v>
      </c>
      <c r="Y473">
        <f t="shared" si="47"/>
        <v>0</v>
      </c>
    </row>
    <row r="474" spans="1:25" x14ac:dyDescent="0.35">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c r="T474">
        <f t="shared" si="42"/>
        <v>1055.21</v>
      </c>
      <c r="U474">
        <f t="shared" si="43"/>
        <v>105.52100000000002</v>
      </c>
      <c r="V474">
        <f t="shared" si="44"/>
        <v>949.68900000000008</v>
      </c>
      <c r="W474">
        <f t="shared" si="45"/>
        <v>8</v>
      </c>
      <c r="X474">
        <f t="shared" si="46"/>
        <v>-105.52099999999996</v>
      </c>
      <c r="Y474">
        <f t="shared" si="47"/>
        <v>0</v>
      </c>
    </row>
    <row r="475" spans="1:25" x14ac:dyDescent="0.35">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c r="T475">
        <f t="shared" si="42"/>
        <v>1065.02</v>
      </c>
      <c r="U475">
        <f t="shared" si="43"/>
        <v>0</v>
      </c>
      <c r="V475">
        <f t="shared" si="44"/>
        <v>1065.02</v>
      </c>
      <c r="W475">
        <f t="shared" si="45"/>
        <v>3</v>
      </c>
      <c r="X475">
        <f t="shared" si="46"/>
        <v>0</v>
      </c>
      <c r="Y475">
        <f t="shared" si="47"/>
        <v>0</v>
      </c>
    </row>
    <row r="476" spans="1:25" x14ac:dyDescent="0.35">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c r="T476">
        <f t="shared" si="42"/>
        <v>268.19</v>
      </c>
      <c r="U476">
        <f t="shared" si="43"/>
        <v>26.819000000000003</v>
      </c>
      <c r="V476">
        <f t="shared" si="44"/>
        <v>241.37099999999998</v>
      </c>
      <c r="W476">
        <f t="shared" si="45"/>
        <v>9</v>
      </c>
      <c r="X476">
        <f t="shared" si="46"/>
        <v>-26.819000000000017</v>
      </c>
      <c r="Y476">
        <f t="shared" si="47"/>
        <v>0</v>
      </c>
    </row>
    <row r="477" spans="1:25" x14ac:dyDescent="0.35">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c r="T477">
        <f t="shared" si="42"/>
        <v>7355.0499999999993</v>
      </c>
      <c r="U477">
        <f t="shared" si="43"/>
        <v>1103.2574999999999</v>
      </c>
      <c r="V477">
        <f t="shared" si="44"/>
        <v>6251.7924999999996</v>
      </c>
      <c r="W477">
        <f t="shared" si="45"/>
        <v>8</v>
      </c>
      <c r="X477">
        <f t="shared" si="46"/>
        <v>-1103.2574999999997</v>
      </c>
      <c r="Y477">
        <f t="shared" si="47"/>
        <v>0</v>
      </c>
    </row>
    <row r="478" spans="1:25" x14ac:dyDescent="0.35">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c r="T478">
        <f t="shared" si="42"/>
        <v>1722.5600000000002</v>
      </c>
      <c r="U478">
        <f t="shared" si="43"/>
        <v>172.25600000000003</v>
      </c>
      <c r="V478">
        <f t="shared" si="44"/>
        <v>1550.3040000000001</v>
      </c>
      <c r="W478">
        <f t="shared" si="45"/>
        <v>9</v>
      </c>
      <c r="X478">
        <f t="shared" si="46"/>
        <v>-172.25600000000009</v>
      </c>
      <c r="Y478">
        <f t="shared" si="47"/>
        <v>0</v>
      </c>
    </row>
    <row r="479" spans="1:25" x14ac:dyDescent="0.35">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c r="T479">
        <f t="shared" si="42"/>
        <v>7272.64</v>
      </c>
      <c r="U479">
        <f t="shared" si="43"/>
        <v>727.26400000000012</v>
      </c>
      <c r="V479">
        <f t="shared" si="44"/>
        <v>6545.3760000000002</v>
      </c>
      <c r="W479">
        <f t="shared" si="45"/>
        <v>2</v>
      </c>
      <c r="X479">
        <f t="shared" si="46"/>
        <v>-727.26400000000012</v>
      </c>
      <c r="Y479">
        <f t="shared" si="47"/>
        <v>0</v>
      </c>
    </row>
    <row r="480" spans="1:25" x14ac:dyDescent="0.35">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c r="T480">
        <f t="shared" si="42"/>
        <v>4560.38</v>
      </c>
      <c r="U480">
        <f t="shared" si="43"/>
        <v>228.01900000000001</v>
      </c>
      <c r="V480">
        <f t="shared" si="44"/>
        <v>4332.3609999999999</v>
      </c>
      <c r="W480">
        <f t="shared" si="45"/>
        <v>6</v>
      </c>
      <c r="X480">
        <f t="shared" si="46"/>
        <v>-228.01900000000023</v>
      </c>
      <c r="Y480">
        <f t="shared" si="47"/>
        <v>0</v>
      </c>
    </row>
    <row r="481" spans="1:25" x14ac:dyDescent="0.35">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c r="T481">
        <f t="shared" si="42"/>
        <v>3176.19</v>
      </c>
      <c r="U481">
        <f t="shared" si="43"/>
        <v>317.61900000000003</v>
      </c>
      <c r="V481">
        <f t="shared" si="44"/>
        <v>2858.5709999999999</v>
      </c>
      <c r="W481">
        <f t="shared" si="45"/>
        <v>2</v>
      </c>
      <c r="X481">
        <f t="shared" si="46"/>
        <v>-317.61900000000014</v>
      </c>
      <c r="Y481">
        <f t="shared" si="47"/>
        <v>0</v>
      </c>
    </row>
    <row r="482" spans="1:25" x14ac:dyDescent="0.35">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c r="T482">
        <f t="shared" si="42"/>
        <v>1264.5999999999999</v>
      </c>
      <c r="U482">
        <f t="shared" si="43"/>
        <v>126.46</v>
      </c>
      <c r="V482">
        <f t="shared" si="44"/>
        <v>1138.1399999999999</v>
      </c>
      <c r="W482">
        <f t="shared" si="45"/>
        <v>10</v>
      </c>
      <c r="X482">
        <f t="shared" si="46"/>
        <v>-126.46000000000004</v>
      </c>
      <c r="Y482">
        <f t="shared" si="47"/>
        <v>0</v>
      </c>
    </row>
    <row r="483" spans="1:25" x14ac:dyDescent="0.35">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c r="T483">
        <f t="shared" si="42"/>
        <v>875.14</v>
      </c>
      <c r="U483">
        <f t="shared" si="43"/>
        <v>0</v>
      </c>
      <c r="V483">
        <f t="shared" si="44"/>
        <v>875.14</v>
      </c>
      <c r="W483">
        <f t="shared" si="45"/>
        <v>7</v>
      </c>
      <c r="X483">
        <f t="shared" si="46"/>
        <v>0</v>
      </c>
      <c r="Y483">
        <f t="shared" si="47"/>
        <v>0</v>
      </c>
    </row>
    <row r="484" spans="1:25" x14ac:dyDescent="0.35">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c r="T484">
        <f t="shared" si="42"/>
        <v>7344.8</v>
      </c>
      <c r="U484">
        <f t="shared" si="43"/>
        <v>367.24</v>
      </c>
      <c r="V484">
        <f t="shared" si="44"/>
        <v>6977.56</v>
      </c>
      <c r="W484">
        <f t="shared" si="45"/>
        <v>8</v>
      </c>
      <c r="X484">
        <f t="shared" si="46"/>
        <v>-367.23999999999978</v>
      </c>
      <c r="Y484">
        <f t="shared" si="47"/>
        <v>0</v>
      </c>
    </row>
    <row r="485" spans="1:25" x14ac:dyDescent="0.35">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c r="T485">
        <f t="shared" si="42"/>
        <v>3456.96</v>
      </c>
      <c r="U485">
        <f t="shared" si="43"/>
        <v>0</v>
      </c>
      <c r="V485">
        <f t="shared" si="44"/>
        <v>3456.96</v>
      </c>
      <c r="W485">
        <f t="shared" si="45"/>
        <v>10</v>
      </c>
      <c r="X485">
        <f t="shared" si="46"/>
        <v>0</v>
      </c>
      <c r="Y485">
        <f t="shared" si="47"/>
        <v>0</v>
      </c>
    </row>
    <row r="486" spans="1:25" x14ac:dyDescent="0.35">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c r="T486">
        <f t="shared" si="42"/>
        <v>39.99</v>
      </c>
      <c r="U486">
        <f t="shared" si="43"/>
        <v>3.9990000000000006</v>
      </c>
      <c r="V486">
        <f t="shared" si="44"/>
        <v>35.991</v>
      </c>
      <c r="W486">
        <f t="shared" si="45"/>
        <v>6</v>
      </c>
      <c r="X486">
        <f t="shared" si="46"/>
        <v>-3.9990000000000023</v>
      </c>
      <c r="Y486">
        <f t="shared" si="47"/>
        <v>0</v>
      </c>
    </row>
    <row r="487" spans="1:25" x14ac:dyDescent="0.35">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c r="T487">
        <f t="shared" si="42"/>
        <v>1377.0900000000001</v>
      </c>
      <c r="U487">
        <f t="shared" si="43"/>
        <v>0</v>
      </c>
      <c r="V487">
        <f t="shared" si="44"/>
        <v>1377.0900000000001</v>
      </c>
      <c r="W487">
        <f t="shared" si="45"/>
        <v>10</v>
      </c>
      <c r="X487">
        <f t="shared" si="46"/>
        <v>0</v>
      </c>
      <c r="Y487">
        <f t="shared" si="47"/>
        <v>0</v>
      </c>
    </row>
    <row r="488" spans="1:25" x14ac:dyDescent="0.35">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c r="T488">
        <f t="shared" si="42"/>
        <v>10531</v>
      </c>
      <c r="U488">
        <f t="shared" si="43"/>
        <v>0</v>
      </c>
      <c r="V488">
        <f t="shared" si="44"/>
        <v>10531</v>
      </c>
      <c r="W488">
        <f t="shared" si="45"/>
        <v>7</v>
      </c>
      <c r="X488">
        <f t="shared" si="46"/>
        <v>0</v>
      </c>
      <c r="Y488">
        <f t="shared" si="47"/>
        <v>0</v>
      </c>
    </row>
    <row r="489" spans="1:25" x14ac:dyDescent="0.35">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c r="T489">
        <f t="shared" si="42"/>
        <v>3737.58</v>
      </c>
      <c r="U489">
        <f t="shared" si="43"/>
        <v>186.87900000000002</v>
      </c>
      <c r="V489">
        <f t="shared" si="44"/>
        <v>3550.701</v>
      </c>
      <c r="W489">
        <f t="shared" si="45"/>
        <v>7</v>
      </c>
      <c r="X489">
        <f t="shared" si="46"/>
        <v>-186.87899999999991</v>
      </c>
      <c r="Y489">
        <f t="shared" si="47"/>
        <v>0</v>
      </c>
    </row>
    <row r="490" spans="1:25" x14ac:dyDescent="0.35">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c r="T490">
        <f t="shared" si="42"/>
        <v>917.5</v>
      </c>
      <c r="U490">
        <f t="shared" si="43"/>
        <v>137.625</v>
      </c>
      <c r="V490">
        <f t="shared" si="44"/>
        <v>779.875</v>
      </c>
      <c r="W490">
        <f t="shared" si="45"/>
        <v>4</v>
      </c>
      <c r="X490">
        <f t="shared" si="46"/>
        <v>-137.625</v>
      </c>
      <c r="Y490">
        <f t="shared" si="47"/>
        <v>0</v>
      </c>
    </row>
    <row r="491" spans="1:25" x14ac:dyDescent="0.35">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c r="T491">
        <f t="shared" si="42"/>
        <v>204.9</v>
      </c>
      <c r="U491">
        <f t="shared" si="43"/>
        <v>20.490000000000002</v>
      </c>
      <c r="V491">
        <f t="shared" si="44"/>
        <v>184.41</v>
      </c>
      <c r="W491">
        <f t="shared" si="45"/>
        <v>6</v>
      </c>
      <c r="X491">
        <f t="shared" si="46"/>
        <v>-20.490000000000009</v>
      </c>
      <c r="Y491">
        <f t="shared" si="47"/>
        <v>0</v>
      </c>
    </row>
    <row r="492" spans="1:25" x14ac:dyDescent="0.35">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c r="T492">
        <f t="shared" si="42"/>
        <v>889.37999999999988</v>
      </c>
      <c r="U492">
        <f t="shared" si="43"/>
        <v>88.937999999999988</v>
      </c>
      <c r="V492">
        <f t="shared" si="44"/>
        <v>800.44199999999989</v>
      </c>
      <c r="W492">
        <f t="shared" si="45"/>
        <v>10</v>
      </c>
      <c r="X492">
        <f t="shared" si="46"/>
        <v>-88.937999999999988</v>
      </c>
      <c r="Y492">
        <f t="shared" si="47"/>
        <v>0</v>
      </c>
    </row>
    <row r="493" spans="1:25" x14ac:dyDescent="0.35">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c r="T493">
        <f t="shared" si="42"/>
        <v>5445.33</v>
      </c>
      <c r="U493">
        <f t="shared" si="43"/>
        <v>816.79949999999997</v>
      </c>
      <c r="V493">
        <f t="shared" si="44"/>
        <v>4628.5304999999998</v>
      </c>
      <c r="W493">
        <f t="shared" si="45"/>
        <v>2</v>
      </c>
      <c r="X493">
        <f t="shared" si="46"/>
        <v>-816.79950000000008</v>
      </c>
      <c r="Y493">
        <f t="shared" si="47"/>
        <v>0</v>
      </c>
    </row>
    <row r="494" spans="1:25" x14ac:dyDescent="0.35">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c r="T494">
        <f t="shared" si="42"/>
        <v>1483.1999999999998</v>
      </c>
      <c r="U494">
        <f t="shared" si="43"/>
        <v>74.16</v>
      </c>
      <c r="V494">
        <f t="shared" si="44"/>
        <v>1409.0399999999997</v>
      </c>
      <c r="W494">
        <f t="shared" si="45"/>
        <v>8</v>
      </c>
      <c r="X494">
        <f t="shared" si="46"/>
        <v>-74.160000000000082</v>
      </c>
      <c r="Y494">
        <f t="shared" si="47"/>
        <v>0</v>
      </c>
    </row>
    <row r="495" spans="1:25" x14ac:dyDescent="0.35">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c r="T495">
        <f t="shared" si="42"/>
        <v>3941.5499999999997</v>
      </c>
      <c r="U495">
        <f t="shared" si="43"/>
        <v>197.07749999999999</v>
      </c>
      <c r="V495">
        <f t="shared" si="44"/>
        <v>3744.4724999999999</v>
      </c>
      <c r="W495">
        <f t="shared" si="45"/>
        <v>5</v>
      </c>
      <c r="X495">
        <f t="shared" si="46"/>
        <v>-197.07749999999987</v>
      </c>
      <c r="Y495">
        <f t="shared" si="47"/>
        <v>0</v>
      </c>
    </row>
    <row r="496" spans="1:25" x14ac:dyDescent="0.35">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c r="T496">
        <f t="shared" si="42"/>
        <v>741.56</v>
      </c>
      <c r="U496">
        <f t="shared" si="43"/>
        <v>111.23399999999999</v>
      </c>
      <c r="V496">
        <f t="shared" si="44"/>
        <v>630.32599999999991</v>
      </c>
      <c r="W496">
        <f t="shared" si="45"/>
        <v>4</v>
      </c>
      <c r="X496">
        <f t="shared" si="46"/>
        <v>-111.23400000000004</v>
      </c>
      <c r="Y496">
        <f t="shared" si="47"/>
        <v>0</v>
      </c>
    </row>
    <row r="497" spans="1:25" x14ac:dyDescent="0.35">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c r="T497">
        <f t="shared" si="42"/>
        <v>1320.48</v>
      </c>
      <c r="U497">
        <f t="shared" si="43"/>
        <v>132.048</v>
      </c>
      <c r="V497">
        <f t="shared" si="44"/>
        <v>1188.432</v>
      </c>
      <c r="W497">
        <f t="shared" si="45"/>
        <v>8</v>
      </c>
      <c r="X497">
        <f t="shared" si="46"/>
        <v>-132.048</v>
      </c>
      <c r="Y497">
        <f t="shared" si="47"/>
        <v>0</v>
      </c>
    </row>
    <row r="498" spans="1:25" x14ac:dyDescent="0.35">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c r="T498">
        <f t="shared" si="42"/>
        <v>1918.1999999999998</v>
      </c>
      <c r="U498">
        <f t="shared" si="43"/>
        <v>191.82</v>
      </c>
      <c r="V498">
        <f t="shared" si="44"/>
        <v>1726.3799999999999</v>
      </c>
      <c r="W498">
        <f t="shared" si="45"/>
        <v>2</v>
      </c>
      <c r="X498">
        <f t="shared" si="46"/>
        <v>-191.81999999999994</v>
      </c>
      <c r="Y498">
        <f t="shared" si="47"/>
        <v>0</v>
      </c>
    </row>
    <row r="499" spans="1:25" x14ac:dyDescent="0.35">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c r="T499">
        <f t="shared" si="42"/>
        <v>2361.84</v>
      </c>
      <c r="U499">
        <f t="shared" si="43"/>
        <v>118.09200000000001</v>
      </c>
      <c r="V499">
        <f t="shared" si="44"/>
        <v>2243.748</v>
      </c>
      <c r="W499">
        <f t="shared" si="45"/>
        <v>5</v>
      </c>
      <c r="X499">
        <f t="shared" si="46"/>
        <v>-118.0920000000001</v>
      </c>
      <c r="Y499">
        <f t="shared" si="47"/>
        <v>0</v>
      </c>
    </row>
    <row r="500" spans="1:25" x14ac:dyDescent="0.35">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c r="T500">
        <f t="shared" si="42"/>
        <v>546.55999999999995</v>
      </c>
      <c r="U500">
        <f t="shared" si="43"/>
        <v>81.983999999999995</v>
      </c>
      <c r="V500">
        <f t="shared" si="44"/>
        <v>464.57599999999996</v>
      </c>
      <c r="W500">
        <f t="shared" si="45"/>
        <v>6</v>
      </c>
      <c r="X500">
        <f t="shared" si="46"/>
        <v>-81.98399999999998</v>
      </c>
      <c r="Y500">
        <f t="shared" si="47"/>
        <v>0</v>
      </c>
    </row>
    <row r="501" spans="1:25" x14ac:dyDescent="0.35">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c r="T501">
        <f t="shared" si="42"/>
        <v>574.86</v>
      </c>
      <c r="U501">
        <f t="shared" si="43"/>
        <v>57.486000000000004</v>
      </c>
      <c r="V501">
        <f t="shared" si="44"/>
        <v>517.37400000000002</v>
      </c>
      <c r="W501">
        <f t="shared" si="45"/>
        <v>9</v>
      </c>
      <c r="X501">
        <f t="shared" si="46"/>
        <v>-57.48599999999999</v>
      </c>
      <c r="Y501">
        <f t="shared" si="47"/>
        <v>0</v>
      </c>
    </row>
    <row r="502" spans="1:25" x14ac:dyDescent="0.35">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c r="T502">
        <f t="shared" si="42"/>
        <v>6089.25</v>
      </c>
      <c r="U502">
        <f t="shared" si="43"/>
        <v>913.38749999999993</v>
      </c>
      <c r="V502">
        <f t="shared" si="44"/>
        <v>5175.8625000000002</v>
      </c>
      <c r="W502">
        <f t="shared" si="45"/>
        <v>5</v>
      </c>
      <c r="X502">
        <f t="shared" si="46"/>
        <v>-913.38749999999982</v>
      </c>
      <c r="Y502">
        <f t="shared" si="47"/>
        <v>0</v>
      </c>
    </row>
    <row r="503" spans="1:25" x14ac:dyDescent="0.35">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c r="T503">
        <f t="shared" si="42"/>
        <v>430.61</v>
      </c>
      <c r="U503">
        <f t="shared" si="43"/>
        <v>0</v>
      </c>
      <c r="V503">
        <f t="shared" si="44"/>
        <v>430.61</v>
      </c>
      <c r="W503">
        <f t="shared" si="45"/>
        <v>8</v>
      </c>
      <c r="X503">
        <f t="shared" si="46"/>
        <v>0</v>
      </c>
      <c r="Y503">
        <f t="shared" si="47"/>
        <v>0</v>
      </c>
    </row>
    <row r="504" spans="1:25" x14ac:dyDescent="0.35">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c r="T504">
        <f t="shared" si="42"/>
        <v>2540.25</v>
      </c>
      <c r="U504">
        <f t="shared" si="43"/>
        <v>0</v>
      </c>
      <c r="V504">
        <f t="shared" si="44"/>
        <v>2540.25</v>
      </c>
      <c r="W504">
        <f t="shared" si="45"/>
        <v>9</v>
      </c>
      <c r="X504">
        <f t="shared" si="46"/>
        <v>0</v>
      </c>
      <c r="Y504">
        <f t="shared" si="47"/>
        <v>0</v>
      </c>
    </row>
    <row r="505" spans="1:25" x14ac:dyDescent="0.35">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c r="T505">
        <f t="shared" si="42"/>
        <v>6798.6100000000006</v>
      </c>
      <c r="U505">
        <f t="shared" si="43"/>
        <v>1019.7915</v>
      </c>
      <c r="V505">
        <f t="shared" si="44"/>
        <v>5778.8185000000003</v>
      </c>
      <c r="W505">
        <f t="shared" si="45"/>
        <v>7</v>
      </c>
      <c r="X505">
        <f t="shared" si="46"/>
        <v>-1019.7915000000003</v>
      </c>
      <c r="Y505">
        <f t="shared" si="47"/>
        <v>0</v>
      </c>
    </row>
    <row r="506" spans="1:25" x14ac:dyDescent="0.35">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c r="T506">
        <f t="shared" si="42"/>
        <v>4424.25</v>
      </c>
      <c r="U506">
        <f t="shared" si="43"/>
        <v>442.42500000000001</v>
      </c>
      <c r="V506">
        <f t="shared" si="44"/>
        <v>3981.8249999999998</v>
      </c>
      <c r="W506">
        <f t="shared" si="45"/>
        <v>2</v>
      </c>
      <c r="X506">
        <f t="shared" si="46"/>
        <v>-442.42500000000018</v>
      </c>
      <c r="Y506">
        <f t="shared" si="47"/>
        <v>0</v>
      </c>
    </row>
    <row r="507" spans="1:25" x14ac:dyDescent="0.35">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c r="T507">
        <f t="shared" si="42"/>
        <v>3295.26</v>
      </c>
      <c r="U507">
        <f t="shared" si="43"/>
        <v>329.52600000000007</v>
      </c>
      <c r="V507">
        <f t="shared" si="44"/>
        <v>2965.7340000000004</v>
      </c>
      <c r="W507">
        <f t="shared" si="45"/>
        <v>8</v>
      </c>
      <c r="X507">
        <f t="shared" si="46"/>
        <v>-329.52599999999984</v>
      </c>
      <c r="Y507">
        <f t="shared" si="47"/>
        <v>0</v>
      </c>
    </row>
    <row r="508" spans="1:25" x14ac:dyDescent="0.35">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c r="T508">
        <f t="shared" si="42"/>
        <v>8029.61</v>
      </c>
      <c r="U508">
        <f t="shared" si="43"/>
        <v>1204.4414999999999</v>
      </c>
      <c r="V508">
        <f t="shared" si="44"/>
        <v>6825.1684999999998</v>
      </c>
      <c r="W508">
        <f t="shared" si="45"/>
        <v>4</v>
      </c>
      <c r="X508">
        <f t="shared" si="46"/>
        <v>-1204.4414999999999</v>
      </c>
      <c r="Y508">
        <f t="shared" si="47"/>
        <v>0</v>
      </c>
    </row>
    <row r="509" spans="1:25" x14ac:dyDescent="0.35">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c r="T509">
        <f t="shared" si="42"/>
        <v>5371.47</v>
      </c>
      <c r="U509">
        <f t="shared" si="43"/>
        <v>0</v>
      </c>
      <c r="V509">
        <f t="shared" si="44"/>
        <v>5371.47</v>
      </c>
      <c r="W509">
        <f t="shared" si="45"/>
        <v>8</v>
      </c>
      <c r="X509">
        <f t="shared" si="46"/>
        <v>0</v>
      </c>
      <c r="Y509">
        <f t="shared" si="47"/>
        <v>0</v>
      </c>
    </row>
    <row r="510" spans="1:25" x14ac:dyDescent="0.35">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c r="T510">
        <f t="shared" si="42"/>
        <v>2310.6</v>
      </c>
      <c r="U510">
        <f t="shared" si="43"/>
        <v>231.06</v>
      </c>
      <c r="V510">
        <f t="shared" si="44"/>
        <v>2079.54</v>
      </c>
      <c r="W510">
        <f t="shared" si="45"/>
        <v>9</v>
      </c>
      <c r="X510">
        <f t="shared" si="46"/>
        <v>-231.05999999999995</v>
      </c>
      <c r="Y510">
        <f t="shared" si="47"/>
        <v>0</v>
      </c>
    </row>
    <row r="511" spans="1:25" x14ac:dyDescent="0.35">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c r="T511">
        <f t="shared" si="42"/>
        <v>9007.92</v>
      </c>
      <c r="U511">
        <f t="shared" si="43"/>
        <v>900.79200000000003</v>
      </c>
      <c r="V511">
        <f t="shared" si="44"/>
        <v>8107.1279999999997</v>
      </c>
      <c r="W511">
        <f t="shared" si="45"/>
        <v>8</v>
      </c>
      <c r="X511">
        <f t="shared" si="46"/>
        <v>-900.79200000000037</v>
      </c>
      <c r="Y511">
        <f t="shared" si="47"/>
        <v>0</v>
      </c>
    </row>
    <row r="512" spans="1:25" x14ac:dyDescent="0.35">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c r="T512">
        <f t="shared" si="42"/>
        <v>1910.8500000000001</v>
      </c>
      <c r="U512">
        <f t="shared" si="43"/>
        <v>0</v>
      </c>
      <c r="V512">
        <f t="shared" si="44"/>
        <v>1910.8500000000001</v>
      </c>
      <c r="W512">
        <f t="shared" si="45"/>
        <v>3</v>
      </c>
      <c r="X512">
        <f t="shared" si="46"/>
        <v>0</v>
      </c>
      <c r="Y512">
        <f t="shared" si="47"/>
        <v>0</v>
      </c>
    </row>
    <row r="513" spans="1:25" x14ac:dyDescent="0.35">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c r="T513">
        <f t="shared" si="42"/>
        <v>1096.6200000000001</v>
      </c>
      <c r="U513">
        <f t="shared" si="43"/>
        <v>164.49300000000002</v>
      </c>
      <c r="V513">
        <f t="shared" si="44"/>
        <v>932.12700000000007</v>
      </c>
      <c r="W513">
        <f t="shared" si="45"/>
        <v>4</v>
      </c>
      <c r="X513">
        <f t="shared" si="46"/>
        <v>-164.49300000000005</v>
      </c>
      <c r="Y513">
        <f t="shared" si="47"/>
        <v>0</v>
      </c>
    </row>
    <row r="514" spans="1:25" x14ac:dyDescent="0.35">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c r="T514">
        <f t="shared" si="42"/>
        <v>1350.65</v>
      </c>
      <c r="U514">
        <f t="shared" si="43"/>
        <v>202.5975</v>
      </c>
      <c r="V514">
        <f t="shared" si="44"/>
        <v>1148.0525</v>
      </c>
      <c r="W514">
        <f t="shared" si="45"/>
        <v>6</v>
      </c>
      <c r="X514">
        <f t="shared" si="46"/>
        <v>-202.59750000000008</v>
      </c>
      <c r="Y514">
        <f t="shared" si="47"/>
        <v>0</v>
      </c>
    </row>
    <row r="515" spans="1:25" x14ac:dyDescent="0.35">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c r="T515">
        <f t="shared" ref="T515:T578" si="48">D515*E515</f>
        <v>960.3</v>
      </c>
      <c r="U515">
        <f t="shared" ref="U515:U578" si="49">T515*H515</f>
        <v>144.04499999999999</v>
      </c>
      <c r="V515">
        <f t="shared" ref="V515:V578" si="50">T515-U515</f>
        <v>816.255</v>
      </c>
      <c r="W515">
        <f t="shared" ref="W515:W578" si="51">R515-Q515</f>
        <v>5</v>
      </c>
      <c r="X515">
        <f t="shared" ref="X515:X578" si="52">V515-(E515*D515)</f>
        <v>-144.04499999999996</v>
      </c>
      <c r="Y515">
        <f t="shared" ref="Y515:Y578" si="53">IF(M515 = "Yes", -V515,0)</f>
        <v>0</v>
      </c>
    </row>
    <row r="516" spans="1:25" x14ac:dyDescent="0.35">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c r="T516">
        <f t="shared" si="48"/>
        <v>7465.86</v>
      </c>
      <c r="U516">
        <f t="shared" si="49"/>
        <v>746.58600000000001</v>
      </c>
      <c r="V516">
        <f t="shared" si="50"/>
        <v>6719.2739999999994</v>
      </c>
      <c r="W516">
        <f t="shared" si="51"/>
        <v>9</v>
      </c>
      <c r="X516">
        <f t="shared" si="52"/>
        <v>-746.58600000000024</v>
      </c>
      <c r="Y516">
        <f t="shared" si="53"/>
        <v>0</v>
      </c>
    </row>
    <row r="517" spans="1:25" x14ac:dyDescent="0.35">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c r="T517">
        <f t="shared" si="48"/>
        <v>982.4</v>
      </c>
      <c r="U517">
        <f t="shared" si="49"/>
        <v>0</v>
      </c>
      <c r="V517">
        <f t="shared" si="50"/>
        <v>982.4</v>
      </c>
      <c r="W517">
        <f t="shared" si="51"/>
        <v>2</v>
      </c>
      <c r="X517">
        <f t="shared" si="52"/>
        <v>0</v>
      </c>
      <c r="Y517">
        <f t="shared" si="53"/>
        <v>0</v>
      </c>
    </row>
    <row r="518" spans="1:25" x14ac:dyDescent="0.35">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c r="T518">
        <f t="shared" si="48"/>
        <v>1365.6</v>
      </c>
      <c r="U518">
        <f t="shared" si="49"/>
        <v>68.28</v>
      </c>
      <c r="V518">
        <f t="shared" si="50"/>
        <v>1297.32</v>
      </c>
      <c r="W518">
        <f t="shared" si="51"/>
        <v>7</v>
      </c>
      <c r="X518">
        <f t="shared" si="52"/>
        <v>-68.279999999999973</v>
      </c>
      <c r="Y518">
        <f t="shared" si="53"/>
        <v>0</v>
      </c>
    </row>
    <row r="519" spans="1:25" x14ac:dyDescent="0.35">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c r="T519">
        <f t="shared" si="48"/>
        <v>680.65</v>
      </c>
      <c r="U519">
        <f t="shared" si="49"/>
        <v>102.0975</v>
      </c>
      <c r="V519">
        <f t="shared" si="50"/>
        <v>578.55250000000001</v>
      </c>
      <c r="W519">
        <f t="shared" si="51"/>
        <v>9</v>
      </c>
      <c r="X519">
        <f t="shared" si="52"/>
        <v>-102.09749999999997</v>
      </c>
      <c r="Y519">
        <f t="shared" si="53"/>
        <v>0</v>
      </c>
    </row>
    <row r="520" spans="1:25" x14ac:dyDescent="0.35">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c r="T520">
        <f t="shared" si="48"/>
        <v>2445.65</v>
      </c>
      <c r="U520">
        <f t="shared" si="49"/>
        <v>244.56500000000003</v>
      </c>
      <c r="V520">
        <f t="shared" si="50"/>
        <v>2201.085</v>
      </c>
      <c r="W520">
        <f t="shared" si="51"/>
        <v>6</v>
      </c>
      <c r="X520">
        <f t="shared" si="52"/>
        <v>-244.56500000000005</v>
      </c>
      <c r="Y520">
        <f t="shared" si="53"/>
        <v>0</v>
      </c>
    </row>
    <row r="521" spans="1:25" x14ac:dyDescent="0.35">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c r="T521">
        <f t="shared" si="48"/>
        <v>1657.44</v>
      </c>
      <c r="U521">
        <f t="shared" si="49"/>
        <v>0</v>
      </c>
      <c r="V521">
        <f t="shared" si="50"/>
        <v>1657.44</v>
      </c>
      <c r="W521">
        <f t="shared" si="51"/>
        <v>7</v>
      </c>
      <c r="X521">
        <f t="shared" si="52"/>
        <v>0</v>
      </c>
      <c r="Y521">
        <f t="shared" si="53"/>
        <v>0</v>
      </c>
    </row>
    <row r="522" spans="1:25" x14ac:dyDescent="0.35">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c r="T522">
        <f t="shared" si="48"/>
        <v>829.56</v>
      </c>
      <c r="U522">
        <f t="shared" si="49"/>
        <v>124.43399999999998</v>
      </c>
      <c r="V522">
        <f t="shared" si="50"/>
        <v>705.12599999999998</v>
      </c>
      <c r="W522">
        <f t="shared" si="51"/>
        <v>2</v>
      </c>
      <c r="X522">
        <f t="shared" si="52"/>
        <v>-124.43399999999997</v>
      </c>
      <c r="Y522">
        <f t="shared" si="53"/>
        <v>0</v>
      </c>
    </row>
    <row r="523" spans="1:25" x14ac:dyDescent="0.35">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c r="T523">
        <f t="shared" si="48"/>
        <v>5850.84</v>
      </c>
      <c r="U523">
        <f t="shared" si="49"/>
        <v>292.54200000000003</v>
      </c>
      <c r="V523">
        <f t="shared" si="50"/>
        <v>5558.2979999999998</v>
      </c>
      <c r="W523">
        <f t="shared" si="51"/>
        <v>10</v>
      </c>
      <c r="X523">
        <f t="shared" si="52"/>
        <v>-292.54200000000037</v>
      </c>
      <c r="Y523">
        <f t="shared" si="53"/>
        <v>0</v>
      </c>
    </row>
    <row r="524" spans="1:25" x14ac:dyDescent="0.35">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c r="T524">
        <f t="shared" si="48"/>
        <v>8546</v>
      </c>
      <c r="U524">
        <f t="shared" si="49"/>
        <v>427.3</v>
      </c>
      <c r="V524">
        <f t="shared" si="50"/>
        <v>8118.7</v>
      </c>
      <c r="W524">
        <f t="shared" si="51"/>
        <v>6</v>
      </c>
      <c r="X524">
        <f t="shared" si="52"/>
        <v>-427.30000000000018</v>
      </c>
      <c r="Y524">
        <f t="shared" si="53"/>
        <v>0</v>
      </c>
    </row>
    <row r="525" spans="1:25" x14ac:dyDescent="0.35">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c r="T525">
        <f t="shared" si="48"/>
        <v>9422.7199999999993</v>
      </c>
      <c r="U525">
        <f t="shared" si="49"/>
        <v>1413.4079999999999</v>
      </c>
      <c r="V525">
        <f t="shared" si="50"/>
        <v>8009.3119999999999</v>
      </c>
      <c r="W525">
        <f t="shared" si="51"/>
        <v>4</v>
      </c>
      <c r="X525">
        <f t="shared" si="52"/>
        <v>-1413.4079999999994</v>
      </c>
      <c r="Y525">
        <f t="shared" si="53"/>
        <v>0</v>
      </c>
    </row>
    <row r="526" spans="1:25" x14ac:dyDescent="0.35">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c r="T526">
        <f t="shared" si="48"/>
        <v>2576.6999999999998</v>
      </c>
      <c r="U526">
        <f t="shared" si="49"/>
        <v>257.67</v>
      </c>
      <c r="V526">
        <f t="shared" si="50"/>
        <v>2319.0299999999997</v>
      </c>
      <c r="W526">
        <f t="shared" si="51"/>
        <v>7</v>
      </c>
      <c r="X526">
        <f t="shared" si="52"/>
        <v>-257.67000000000007</v>
      </c>
      <c r="Y526">
        <f t="shared" si="53"/>
        <v>0</v>
      </c>
    </row>
    <row r="527" spans="1:25" x14ac:dyDescent="0.35">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c r="T527">
        <f t="shared" si="48"/>
        <v>476</v>
      </c>
      <c r="U527">
        <f t="shared" si="49"/>
        <v>71.399999999999991</v>
      </c>
      <c r="V527">
        <f t="shared" si="50"/>
        <v>404.6</v>
      </c>
      <c r="W527">
        <f t="shared" si="51"/>
        <v>3</v>
      </c>
      <c r="X527">
        <f t="shared" si="52"/>
        <v>-71.399999999999977</v>
      </c>
      <c r="Y527">
        <f t="shared" si="53"/>
        <v>0</v>
      </c>
    </row>
    <row r="528" spans="1:25" x14ac:dyDescent="0.35">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c r="T528">
        <f t="shared" si="48"/>
        <v>1836.3799999999999</v>
      </c>
      <c r="U528">
        <f t="shared" si="49"/>
        <v>0</v>
      </c>
      <c r="V528">
        <f t="shared" si="50"/>
        <v>1836.3799999999999</v>
      </c>
      <c r="W528">
        <f t="shared" si="51"/>
        <v>7</v>
      </c>
      <c r="X528">
        <f t="shared" si="52"/>
        <v>0</v>
      </c>
      <c r="Y528">
        <f t="shared" si="53"/>
        <v>0</v>
      </c>
    </row>
    <row r="529" spans="1:25" x14ac:dyDescent="0.35">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c r="T529">
        <f t="shared" si="48"/>
        <v>751.95</v>
      </c>
      <c r="U529">
        <f t="shared" si="49"/>
        <v>112.7925</v>
      </c>
      <c r="V529">
        <f t="shared" si="50"/>
        <v>639.15750000000003</v>
      </c>
      <c r="W529">
        <f t="shared" si="51"/>
        <v>2</v>
      </c>
      <c r="X529">
        <f t="shared" si="52"/>
        <v>-112.79250000000002</v>
      </c>
      <c r="Y529">
        <f t="shared" si="53"/>
        <v>0</v>
      </c>
    </row>
    <row r="530" spans="1:25" x14ac:dyDescent="0.35">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c r="T530">
        <f t="shared" si="48"/>
        <v>5722.2300000000005</v>
      </c>
      <c r="U530">
        <f t="shared" si="49"/>
        <v>286.11150000000004</v>
      </c>
      <c r="V530">
        <f t="shared" si="50"/>
        <v>5436.1185000000005</v>
      </c>
      <c r="W530">
        <f t="shared" si="51"/>
        <v>10</v>
      </c>
      <c r="X530">
        <f t="shared" si="52"/>
        <v>-286.11149999999998</v>
      </c>
      <c r="Y530">
        <f t="shared" si="53"/>
        <v>0</v>
      </c>
    </row>
    <row r="531" spans="1:25" x14ac:dyDescent="0.35">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c r="T531">
        <f t="shared" si="48"/>
        <v>215.53</v>
      </c>
      <c r="U531">
        <f t="shared" si="49"/>
        <v>21.553000000000001</v>
      </c>
      <c r="V531">
        <f t="shared" si="50"/>
        <v>193.977</v>
      </c>
      <c r="W531">
        <f t="shared" si="51"/>
        <v>8</v>
      </c>
      <c r="X531">
        <f t="shared" si="52"/>
        <v>-21.552999999999997</v>
      </c>
      <c r="Y531">
        <f t="shared" si="53"/>
        <v>0</v>
      </c>
    </row>
    <row r="532" spans="1:25" x14ac:dyDescent="0.35">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c r="T532">
        <f t="shared" si="48"/>
        <v>561.6</v>
      </c>
      <c r="U532">
        <f t="shared" si="49"/>
        <v>84.24</v>
      </c>
      <c r="V532">
        <f t="shared" si="50"/>
        <v>477.36</v>
      </c>
      <c r="W532">
        <f t="shared" si="51"/>
        <v>5</v>
      </c>
      <c r="X532">
        <f t="shared" si="52"/>
        <v>-84.240000000000009</v>
      </c>
      <c r="Y532">
        <f t="shared" si="53"/>
        <v>0</v>
      </c>
    </row>
    <row r="533" spans="1:25" x14ac:dyDescent="0.35">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c r="T533">
        <f t="shared" si="48"/>
        <v>3099.2</v>
      </c>
      <c r="U533">
        <f t="shared" si="49"/>
        <v>464.87999999999994</v>
      </c>
      <c r="V533">
        <f t="shared" si="50"/>
        <v>2634.3199999999997</v>
      </c>
      <c r="W533">
        <f t="shared" si="51"/>
        <v>6</v>
      </c>
      <c r="X533">
        <f t="shared" si="52"/>
        <v>-464.88000000000011</v>
      </c>
      <c r="Y533">
        <f t="shared" si="53"/>
        <v>0</v>
      </c>
    </row>
    <row r="534" spans="1:25" x14ac:dyDescent="0.35">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c r="T534">
        <f t="shared" si="48"/>
        <v>5270.5099999999993</v>
      </c>
      <c r="U534">
        <f t="shared" si="49"/>
        <v>263.52549999999997</v>
      </c>
      <c r="V534">
        <f t="shared" si="50"/>
        <v>5006.9844999999996</v>
      </c>
      <c r="W534">
        <f t="shared" si="51"/>
        <v>8</v>
      </c>
      <c r="X534">
        <f t="shared" si="52"/>
        <v>-263.52549999999974</v>
      </c>
      <c r="Y534">
        <f t="shared" si="53"/>
        <v>0</v>
      </c>
    </row>
    <row r="535" spans="1:25" x14ac:dyDescent="0.35">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c r="T535">
        <f t="shared" si="48"/>
        <v>2660.71</v>
      </c>
      <c r="U535">
        <f t="shared" si="49"/>
        <v>399.10649999999998</v>
      </c>
      <c r="V535">
        <f t="shared" si="50"/>
        <v>2261.6035000000002</v>
      </c>
      <c r="W535">
        <f t="shared" si="51"/>
        <v>4</v>
      </c>
      <c r="X535">
        <f t="shared" si="52"/>
        <v>-399.10649999999987</v>
      </c>
      <c r="Y535">
        <f t="shared" si="53"/>
        <v>0</v>
      </c>
    </row>
    <row r="536" spans="1:25" x14ac:dyDescent="0.35">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c r="T536">
        <f t="shared" si="48"/>
        <v>750.33</v>
      </c>
      <c r="U536">
        <f t="shared" si="49"/>
        <v>0</v>
      </c>
      <c r="V536">
        <f t="shared" si="50"/>
        <v>750.33</v>
      </c>
      <c r="W536">
        <f t="shared" si="51"/>
        <v>8</v>
      </c>
      <c r="X536">
        <f t="shared" si="52"/>
        <v>0</v>
      </c>
      <c r="Y536">
        <f t="shared" si="53"/>
        <v>0</v>
      </c>
    </row>
    <row r="537" spans="1:25" x14ac:dyDescent="0.35">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c r="T537">
        <f t="shared" si="48"/>
        <v>6321.84</v>
      </c>
      <c r="U537">
        <f t="shared" si="49"/>
        <v>0</v>
      </c>
      <c r="V537">
        <f t="shared" si="50"/>
        <v>6321.84</v>
      </c>
      <c r="W537">
        <f t="shared" si="51"/>
        <v>8</v>
      </c>
      <c r="X537">
        <f t="shared" si="52"/>
        <v>0</v>
      </c>
      <c r="Y537">
        <f t="shared" si="53"/>
        <v>0</v>
      </c>
    </row>
    <row r="538" spans="1:25" x14ac:dyDescent="0.35">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c r="T538">
        <f t="shared" si="48"/>
        <v>10351.800000000001</v>
      </c>
      <c r="U538">
        <f t="shared" si="49"/>
        <v>0</v>
      </c>
      <c r="V538">
        <f t="shared" si="50"/>
        <v>10351.800000000001</v>
      </c>
      <c r="W538">
        <f t="shared" si="51"/>
        <v>7</v>
      </c>
      <c r="X538">
        <f t="shared" si="52"/>
        <v>0</v>
      </c>
      <c r="Y538">
        <f t="shared" si="53"/>
        <v>0</v>
      </c>
    </row>
    <row r="539" spans="1:25" x14ac:dyDescent="0.35">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c r="T539">
        <f t="shared" si="48"/>
        <v>2604.16</v>
      </c>
      <c r="U539">
        <f t="shared" si="49"/>
        <v>260.416</v>
      </c>
      <c r="V539">
        <f t="shared" si="50"/>
        <v>2343.7439999999997</v>
      </c>
      <c r="W539">
        <f t="shared" si="51"/>
        <v>5</v>
      </c>
      <c r="X539">
        <f t="shared" si="52"/>
        <v>-260.41600000000017</v>
      </c>
      <c r="Y539">
        <f t="shared" si="53"/>
        <v>0</v>
      </c>
    </row>
    <row r="540" spans="1:25" x14ac:dyDescent="0.35">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c r="T540">
        <f t="shared" si="48"/>
        <v>2199.96</v>
      </c>
      <c r="U540">
        <f t="shared" si="49"/>
        <v>329.99399999999997</v>
      </c>
      <c r="V540">
        <f t="shared" si="50"/>
        <v>1869.9660000000001</v>
      </c>
      <c r="W540">
        <f t="shared" si="51"/>
        <v>10</v>
      </c>
      <c r="X540">
        <f t="shared" si="52"/>
        <v>-329.99399999999991</v>
      </c>
      <c r="Y540">
        <f t="shared" si="53"/>
        <v>0</v>
      </c>
    </row>
    <row r="541" spans="1:25" x14ac:dyDescent="0.35">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c r="T541">
        <f t="shared" si="48"/>
        <v>1002.6</v>
      </c>
      <c r="U541">
        <f t="shared" si="49"/>
        <v>50.13</v>
      </c>
      <c r="V541">
        <f t="shared" si="50"/>
        <v>952.47</v>
      </c>
      <c r="W541">
        <f t="shared" si="51"/>
        <v>7</v>
      </c>
      <c r="X541">
        <f t="shared" si="52"/>
        <v>-50.129999999999995</v>
      </c>
      <c r="Y541">
        <f t="shared" si="53"/>
        <v>0</v>
      </c>
    </row>
    <row r="542" spans="1:25" x14ac:dyDescent="0.35">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c r="T542">
        <f t="shared" si="48"/>
        <v>4990.32</v>
      </c>
      <c r="U542">
        <f t="shared" si="49"/>
        <v>0</v>
      </c>
      <c r="V542">
        <f t="shared" si="50"/>
        <v>4990.32</v>
      </c>
      <c r="W542">
        <f t="shared" si="51"/>
        <v>4</v>
      </c>
      <c r="X542">
        <f t="shared" si="52"/>
        <v>0</v>
      </c>
      <c r="Y542">
        <f t="shared" si="53"/>
        <v>0</v>
      </c>
    </row>
    <row r="543" spans="1:25" x14ac:dyDescent="0.35">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c r="T543">
        <f t="shared" si="48"/>
        <v>1503.84</v>
      </c>
      <c r="U543">
        <f t="shared" si="49"/>
        <v>225.57599999999999</v>
      </c>
      <c r="V543">
        <f t="shared" si="50"/>
        <v>1278.2639999999999</v>
      </c>
      <c r="W543">
        <f t="shared" si="51"/>
        <v>8</v>
      </c>
      <c r="X543">
        <f t="shared" si="52"/>
        <v>-225.57600000000002</v>
      </c>
      <c r="Y543">
        <f t="shared" si="53"/>
        <v>0</v>
      </c>
    </row>
    <row r="544" spans="1:25" x14ac:dyDescent="0.35">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c r="T544">
        <f t="shared" si="48"/>
        <v>6792.94</v>
      </c>
      <c r="U544">
        <f t="shared" si="49"/>
        <v>0</v>
      </c>
      <c r="V544">
        <f t="shared" si="50"/>
        <v>6792.94</v>
      </c>
      <c r="W544">
        <f t="shared" si="51"/>
        <v>6</v>
      </c>
      <c r="X544">
        <f t="shared" si="52"/>
        <v>0</v>
      </c>
      <c r="Y544">
        <f t="shared" si="53"/>
        <v>0</v>
      </c>
    </row>
    <row r="545" spans="1:25" x14ac:dyDescent="0.35">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c r="T545">
        <f t="shared" si="48"/>
        <v>3351.96</v>
      </c>
      <c r="U545">
        <f t="shared" si="49"/>
        <v>167.59800000000001</v>
      </c>
      <c r="V545">
        <f t="shared" si="50"/>
        <v>3184.3620000000001</v>
      </c>
      <c r="W545">
        <f t="shared" si="51"/>
        <v>8</v>
      </c>
      <c r="X545">
        <f t="shared" si="52"/>
        <v>-167.59799999999996</v>
      </c>
      <c r="Y545">
        <f t="shared" si="53"/>
        <v>0</v>
      </c>
    </row>
    <row r="546" spans="1:25" x14ac:dyDescent="0.35">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c r="T546">
        <f t="shared" si="48"/>
        <v>983.71</v>
      </c>
      <c r="U546">
        <f t="shared" si="49"/>
        <v>0</v>
      </c>
      <c r="V546">
        <f t="shared" si="50"/>
        <v>983.71</v>
      </c>
      <c r="W546">
        <f t="shared" si="51"/>
        <v>9</v>
      </c>
      <c r="X546">
        <f t="shared" si="52"/>
        <v>0</v>
      </c>
      <c r="Y546">
        <f t="shared" si="53"/>
        <v>0</v>
      </c>
    </row>
    <row r="547" spans="1:25" x14ac:dyDescent="0.35">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c r="T547">
        <f t="shared" si="48"/>
        <v>5484.1500000000005</v>
      </c>
      <c r="U547">
        <f t="shared" si="49"/>
        <v>822.62250000000006</v>
      </c>
      <c r="V547">
        <f t="shared" si="50"/>
        <v>4661.5275000000001</v>
      </c>
      <c r="W547">
        <f t="shared" si="51"/>
        <v>2</v>
      </c>
      <c r="X547">
        <f t="shared" si="52"/>
        <v>-822.6225000000004</v>
      </c>
      <c r="Y547">
        <f t="shared" si="53"/>
        <v>0</v>
      </c>
    </row>
    <row r="548" spans="1:25" x14ac:dyDescent="0.35">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c r="T548">
        <f t="shared" si="48"/>
        <v>7079.4000000000005</v>
      </c>
      <c r="U548">
        <f t="shared" si="49"/>
        <v>1061.9100000000001</v>
      </c>
      <c r="V548">
        <f t="shared" si="50"/>
        <v>6017.4900000000007</v>
      </c>
      <c r="W548">
        <f t="shared" si="51"/>
        <v>3</v>
      </c>
      <c r="X548">
        <f t="shared" si="52"/>
        <v>-1061.9099999999999</v>
      </c>
      <c r="Y548">
        <f t="shared" si="53"/>
        <v>0</v>
      </c>
    </row>
    <row r="549" spans="1:25" x14ac:dyDescent="0.35">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c r="T549">
        <f t="shared" si="48"/>
        <v>4106.34</v>
      </c>
      <c r="U549">
        <f t="shared" si="49"/>
        <v>0</v>
      </c>
      <c r="V549">
        <f t="shared" si="50"/>
        <v>4106.34</v>
      </c>
      <c r="W549">
        <f t="shared" si="51"/>
        <v>2</v>
      </c>
      <c r="X549">
        <f t="shared" si="52"/>
        <v>0</v>
      </c>
      <c r="Y549">
        <f t="shared" si="53"/>
        <v>0</v>
      </c>
    </row>
    <row r="550" spans="1:25" x14ac:dyDescent="0.35">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c r="T550">
        <f t="shared" si="48"/>
        <v>3973.8999999999996</v>
      </c>
      <c r="U550">
        <f t="shared" si="49"/>
        <v>596.08499999999992</v>
      </c>
      <c r="V550">
        <f t="shared" si="50"/>
        <v>3377.8149999999996</v>
      </c>
      <c r="W550">
        <f t="shared" si="51"/>
        <v>10</v>
      </c>
      <c r="X550">
        <f t="shared" si="52"/>
        <v>-596.08500000000004</v>
      </c>
      <c r="Y550">
        <f t="shared" si="53"/>
        <v>0</v>
      </c>
    </row>
    <row r="551" spans="1:25" x14ac:dyDescent="0.35">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c r="T551">
        <f t="shared" si="48"/>
        <v>196.7</v>
      </c>
      <c r="U551">
        <f t="shared" si="49"/>
        <v>0</v>
      </c>
      <c r="V551">
        <f t="shared" si="50"/>
        <v>196.7</v>
      </c>
      <c r="W551">
        <f t="shared" si="51"/>
        <v>2</v>
      </c>
      <c r="X551">
        <f t="shared" si="52"/>
        <v>0</v>
      </c>
      <c r="Y551">
        <f t="shared" si="53"/>
        <v>0</v>
      </c>
    </row>
    <row r="552" spans="1:25" x14ac:dyDescent="0.35">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c r="T552">
        <f t="shared" si="48"/>
        <v>3490.0199999999995</v>
      </c>
      <c r="U552">
        <f t="shared" si="49"/>
        <v>0</v>
      </c>
      <c r="V552">
        <f t="shared" si="50"/>
        <v>3490.0199999999995</v>
      </c>
      <c r="W552">
        <f t="shared" si="51"/>
        <v>3</v>
      </c>
      <c r="X552">
        <f t="shared" si="52"/>
        <v>0</v>
      </c>
      <c r="Y552">
        <f t="shared" si="53"/>
        <v>0</v>
      </c>
    </row>
    <row r="553" spans="1:25" x14ac:dyDescent="0.35">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c r="T553">
        <f t="shared" si="48"/>
        <v>577.79</v>
      </c>
      <c r="U553">
        <f t="shared" si="49"/>
        <v>28.889499999999998</v>
      </c>
      <c r="V553">
        <f t="shared" si="50"/>
        <v>548.90049999999997</v>
      </c>
      <c r="W553">
        <f t="shared" si="51"/>
        <v>10</v>
      </c>
      <c r="X553">
        <f t="shared" si="52"/>
        <v>-28.889499999999998</v>
      </c>
      <c r="Y553">
        <f t="shared" si="53"/>
        <v>0</v>
      </c>
    </row>
    <row r="554" spans="1:25" x14ac:dyDescent="0.35">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c r="T554">
        <f t="shared" si="48"/>
        <v>5531.85</v>
      </c>
      <c r="U554">
        <f t="shared" si="49"/>
        <v>553.18500000000006</v>
      </c>
      <c r="V554">
        <f t="shared" si="50"/>
        <v>4978.665</v>
      </c>
      <c r="W554">
        <f t="shared" si="51"/>
        <v>2</v>
      </c>
      <c r="X554">
        <f t="shared" si="52"/>
        <v>-553.1850000000004</v>
      </c>
      <c r="Y554">
        <f t="shared" si="53"/>
        <v>0</v>
      </c>
    </row>
    <row r="555" spans="1:25" x14ac:dyDescent="0.35">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c r="T555">
        <f t="shared" si="48"/>
        <v>224.24</v>
      </c>
      <c r="U555">
        <f t="shared" si="49"/>
        <v>33.636000000000003</v>
      </c>
      <c r="V555">
        <f t="shared" si="50"/>
        <v>190.60400000000001</v>
      </c>
      <c r="W555">
        <f t="shared" si="51"/>
        <v>9</v>
      </c>
      <c r="X555">
        <f t="shared" si="52"/>
        <v>-33.635999999999996</v>
      </c>
      <c r="Y555">
        <f t="shared" si="53"/>
        <v>0</v>
      </c>
    </row>
    <row r="556" spans="1:25" x14ac:dyDescent="0.35">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c r="T556">
        <f t="shared" si="48"/>
        <v>109.55</v>
      </c>
      <c r="U556">
        <f t="shared" si="49"/>
        <v>0</v>
      </c>
      <c r="V556">
        <f t="shared" si="50"/>
        <v>109.55</v>
      </c>
      <c r="W556">
        <f t="shared" si="51"/>
        <v>6</v>
      </c>
      <c r="X556">
        <f t="shared" si="52"/>
        <v>0</v>
      </c>
      <c r="Y556">
        <f t="shared" si="53"/>
        <v>0</v>
      </c>
    </row>
    <row r="557" spans="1:25" x14ac:dyDescent="0.35">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c r="T557">
        <f t="shared" si="48"/>
        <v>3427.65</v>
      </c>
      <c r="U557">
        <f t="shared" si="49"/>
        <v>0</v>
      </c>
      <c r="V557">
        <f t="shared" si="50"/>
        <v>3427.65</v>
      </c>
      <c r="W557">
        <f t="shared" si="51"/>
        <v>9</v>
      </c>
      <c r="X557">
        <f t="shared" si="52"/>
        <v>0</v>
      </c>
      <c r="Y557">
        <f t="shared" si="53"/>
        <v>0</v>
      </c>
    </row>
    <row r="558" spans="1:25" x14ac:dyDescent="0.35">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c r="T558">
        <f t="shared" si="48"/>
        <v>6459.31</v>
      </c>
      <c r="U558">
        <f t="shared" si="49"/>
        <v>0</v>
      </c>
      <c r="V558">
        <f t="shared" si="50"/>
        <v>6459.31</v>
      </c>
      <c r="W558">
        <f t="shared" si="51"/>
        <v>7</v>
      </c>
      <c r="X558">
        <f t="shared" si="52"/>
        <v>0</v>
      </c>
      <c r="Y558">
        <f t="shared" si="53"/>
        <v>0</v>
      </c>
    </row>
    <row r="559" spans="1:25" x14ac:dyDescent="0.35">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c r="T559">
        <f t="shared" si="48"/>
        <v>9422.25</v>
      </c>
      <c r="U559">
        <f t="shared" si="49"/>
        <v>942.22500000000002</v>
      </c>
      <c r="V559">
        <f t="shared" si="50"/>
        <v>8480.0249999999996</v>
      </c>
      <c r="W559">
        <f t="shared" si="51"/>
        <v>4</v>
      </c>
      <c r="X559">
        <f t="shared" si="52"/>
        <v>-942.22500000000036</v>
      </c>
      <c r="Y559">
        <f t="shared" si="53"/>
        <v>0</v>
      </c>
    </row>
    <row r="560" spans="1:25" x14ac:dyDescent="0.35">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c r="T560">
        <f t="shared" si="48"/>
        <v>1230.69</v>
      </c>
      <c r="U560">
        <f t="shared" si="49"/>
        <v>184.6035</v>
      </c>
      <c r="V560">
        <f t="shared" si="50"/>
        <v>1046.0865000000001</v>
      </c>
      <c r="W560">
        <f t="shared" si="51"/>
        <v>6</v>
      </c>
      <c r="X560">
        <f t="shared" si="52"/>
        <v>-184.60349999999994</v>
      </c>
      <c r="Y560">
        <f t="shared" si="53"/>
        <v>0</v>
      </c>
    </row>
    <row r="561" spans="1:25" x14ac:dyDescent="0.35">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c r="T561">
        <f t="shared" si="48"/>
        <v>496.15000000000003</v>
      </c>
      <c r="U561">
        <f t="shared" si="49"/>
        <v>0</v>
      </c>
      <c r="V561">
        <f t="shared" si="50"/>
        <v>496.15000000000003</v>
      </c>
      <c r="W561">
        <f t="shared" si="51"/>
        <v>7</v>
      </c>
      <c r="X561">
        <f t="shared" si="52"/>
        <v>0</v>
      </c>
      <c r="Y561">
        <f t="shared" si="53"/>
        <v>0</v>
      </c>
    </row>
    <row r="562" spans="1:25" x14ac:dyDescent="0.35">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c r="T562">
        <f t="shared" si="48"/>
        <v>4528.62</v>
      </c>
      <c r="U562">
        <f t="shared" si="49"/>
        <v>0</v>
      </c>
      <c r="V562">
        <f t="shared" si="50"/>
        <v>4528.62</v>
      </c>
      <c r="W562">
        <f t="shared" si="51"/>
        <v>7</v>
      </c>
      <c r="X562">
        <f t="shared" si="52"/>
        <v>0</v>
      </c>
      <c r="Y562">
        <f t="shared" si="53"/>
        <v>0</v>
      </c>
    </row>
    <row r="563" spans="1:25" x14ac:dyDescent="0.35">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c r="T563">
        <f t="shared" si="48"/>
        <v>2640.27</v>
      </c>
      <c r="U563">
        <f t="shared" si="49"/>
        <v>396.04050000000001</v>
      </c>
      <c r="V563">
        <f t="shared" si="50"/>
        <v>2244.2294999999999</v>
      </c>
      <c r="W563">
        <f t="shared" si="51"/>
        <v>5</v>
      </c>
      <c r="X563">
        <f t="shared" si="52"/>
        <v>-396.04050000000007</v>
      </c>
      <c r="Y563">
        <f t="shared" si="53"/>
        <v>0</v>
      </c>
    </row>
    <row r="564" spans="1:25" x14ac:dyDescent="0.35">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c r="T564">
        <f t="shared" si="48"/>
        <v>2126.5300000000002</v>
      </c>
      <c r="U564">
        <f t="shared" si="49"/>
        <v>318.97950000000003</v>
      </c>
      <c r="V564">
        <f t="shared" si="50"/>
        <v>1807.5505000000003</v>
      </c>
      <c r="W564">
        <f t="shared" si="51"/>
        <v>10</v>
      </c>
      <c r="X564">
        <f t="shared" si="52"/>
        <v>-318.97949999999992</v>
      </c>
      <c r="Y564">
        <f t="shared" si="53"/>
        <v>0</v>
      </c>
    </row>
    <row r="565" spans="1:25" x14ac:dyDescent="0.35">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c r="T565">
        <f t="shared" si="48"/>
        <v>4483.75</v>
      </c>
      <c r="U565">
        <f t="shared" si="49"/>
        <v>0</v>
      </c>
      <c r="V565">
        <f t="shared" si="50"/>
        <v>4483.75</v>
      </c>
      <c r="W565">
        <f t="shared" si="51"/>
        <v>5</v>
      </c>
      <c r="X565">
        <f t="shared" si="52"/>
        <v>0</v>
      </c>
      <c r="Y565">
        <f t="shared" si="53"/>
        <v>0</v>
      </c>
    </row>
    <row r="566" spans="1:25" x14ac:dyDescent="0.35">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c r="T566">
        <f t="shared" si="48"/>
        <v>719.68</v>
      </c>
      <c r="U566">
        <f t="shared" si="49"/>
        <v>71.968000000000004</v>
      </c>
      <c r="V566">
        <f t="shared" si="50"/>
        <v>647.71199999999999</v>
      </c>
      <c r="W566">
        <f t="shared" si="51"/>
        <v>8</v>
      </c>
      <c r="X566">
        <f t="shared" si="52"/>
        <v>-71.967999999999961</v>
      </c>
      <c r="Y566">
        <f t="shared" si="53"/>
        <v>0</v>
      </c>
    </row>
    <row r="567" spans="1:25" x14ac:dyDescent="0.35">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c r="T567">
        <f t="shared" si="48"/>
        <v>528</v>
      </c>
      <c r="U567">
        <f t="shared" si="49"/>
        <v>0</v>
      </c>
      <c r="V567">
        <f t="shared" si="50"/>
        <v>528</v>
      </c>
      <c r="W567">
        <f t="shared" si="51"/>
        <v>8</v>
      </c>
      <c r="X567">
        <f t="shared" si="52"/>
        <v>0</v>
      </c>
      <c r="Y567">
        <f t="shared" si="53"/>
        <v>0</v>
      </c>
    </row>
    <row r="568" spans="1:25" x14ac:dyDescent="0.35">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c r="T568">
        <f t="shared" si="48"/>
        <v>1615.88</v>
      </c>
      <c r="U568">
        <f t="shared" si="49"/>
        <v>80.794000000000011</v>
      </c>
      <c r="V568">
        <f t="shared" si="50"/>
        <v>1535.086</v>
      </c>
      <c r="W568">
        <f t="shared" si="51"/>
        <v>7</v>
      </c>
      <c r="X568">
        <f t="shared" si="52"/>
        <v>-80.794000000000096</v>
      </c>
      <c r="Y568">
        <f t="shared" si="53"/>
        <v>0</v>
      </c>
    </row>
    <row r="569" spans="1:25" x14ac:dyDescent="0.35">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c r="T569">
        <f t="shared" si="48"/>
        <v>343.84</v>
      </c>
      <c r="U569">
        <f t="shared" si="49"/>
        <v>34.384</v>
      </c>
      <c r="V569">
        <f t="shared" si="50"/>
        <v>309.45599999999996</v>
      </c>
      <c r="W569">
        <f t="shared" si="51"/>
        <v>9</v>
      </c>
      <c r="X569">
        <f t="shared" si="52"/>
        <v>-34.384000000000015</v>
      </c>
      <c r="Y569">
        <f t="shared" si="53"/>
        <v>0</v>
      </c>
    </row>
    <row r="570" spans="1:25" x14ac:dyDescent="0.35">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c r="T570">
        <f t="shared" si="48"/>
        <v>186.98</v>
      </c>
      <c r="U570">
        <f t="shared" si="49"/>
        <v>18.698</v>
      </c>
      <c r="V570">
        <f t="shared" si="50"/>
        <v>168.28199999999998</v>
      </c>
      <c r="W570">
        <f t="shared" si="51"/>
        <v>10</v>
      </c>
      <c r="X570">
        <f t="shared" si="52"/>
        <v>-18.698000000000008</v>
      </c>
      <c r="Y570">
        <f t="shared" si="53"/>
        <v>0</v>
      </c>
    </row>
    <row r="571" spans="1:25" x14ac:dyDescent="0.35">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c r="T571">
        <f t="shared" si="48"/>
        <v>1587.1899999999998</v>
      </c>
      <c r="U571">
        <f t="shared" si="49"/>
        <v>79.359499999999997</v>
      </c>
      <c r="V571">
        <f t="shared" si="50"/>
        <v>1507.8304999999998</v>
      </c>
      <c r="W571">
        <f t="shared" si="51"/>
        <v>4</v>
      </c>
      <c r="X571">
        <f t="shared" si="52"/>
        <v>-79.359500000000025</v>
      </c>
      <c r="Y571">
        <f t="shared" si="53"/>
        <v>0</v>
      </c>
    </row>
    <row r="572" spans="1:25" x14ac:dyDescent="0.35">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c r="T572">
        <f t="shared" si="48"/>
        <v>9958.14</v>
      </c>
      <c r="U572">
        <f t="shared" si="49"/>
        <v>0</v>
      </c>
      <c r="V572">
        <f t="shared" si="50"/>
        <v>9958.14</v>
      </c>
      <c r="W572">
        <f t="shared" si="51"/>
        <v>4</v>
      </c>
      <c r="X572">
        <f t="shared" si="52"/>
        <v>0</v>
      </c>
      <c r="Y572">
        <f t="shared" si="53"/>
        <v>0</v>
      </c>
    </row>
    <row r="573" spans="1:25" x14ac:dyDescent="0.35">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c r="T573">
        <f t="shared" si="48"/>
        <v>2054.7000000000003</v>
      </c>
      <c r="U573">
        <f t="shared" si="49"/>
        <v>102.73500000000001</v>
      </c>
      <c r="V573">
        <f t="shared" si="50"/>
        <v>1951.9650000000001</v>
      </c>
      <c r="W573">
        <f t="shared" si="51"/>
        <v>8</v>
      </c>
      <c r="X573">
        <f t="shared" si="52"/>
        <v>-102.73500000000013</v>
      </c>
      <c r="Y573">
        <f t="shared" si="53"/>
        <v>0</v>
      </c>
    </row>
    <row r="574" spans="1:25" x14ac:dyDescent="0.35">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c r="T574">
        <f t="shared" si="48"/>
        <v>1651.58</v>
      </c>
      <c r="U574">
        <f t="shared" si="49"/>
        <v>165.15800000000002</v>
      </c>
      <c r="V574">
        <f t="shared" si="50"/>
        <v>1486.422</v>
      </c>
      <c r="W574">
        <f t="shared" si="51"/>
        <v>5</v>
      </c>
      <c r="X574">
        <f t="shared" si="52"/>
        <v>-165.1579999999999</v>
      </c>
      <c r="Y574">
        <f t="shared" si="53"/>
        <v>0</v>
      </c>
    </row>
    <row r="575" spans="1:25" x14ac:dyDescent="0.35">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c r="T575">
        <f t="shared" si="48"/>
        <v>6281.84</v>
      </c>
      <c r="U575">
        <f t="shared" si="49"/>
        <v>0</v>
      </c>
      <c r="V575">
        <f t="shared" si="50"/>
        <v>6281.84</v>
      </c>
      <c r="W575">
        <f t="shared" si="51"/>
        <v>6</v>
      </c>
      <c r="X575">
        <f t="shared" si="52"/>
        <v>0</v>
      </c>
      <c r="Y575">
        <f t="shared" si="53"/>
        <v>0</v>
      </c>
    </row>
    <row r="576" spans="1:25" x14ac:dyDescent="0.35">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c r="T576">
        <f t="shared" si="48"/>
        <v>1136.72</v>
      </c>
      <c r="U576">
        <f t="shared" si="49"/>
        <v>0</v>
      </c>
      <c r="V576">
        <f t="shared" si="50"/>
        <v>1136.72</v>
      </c>
      <c r="W576">
        <f t="shared" si="51"/>
        <v>6</v>
      </c>
      <c r="X576">
        <f t="shared" si="52"/>
        <v>0</v>
      </c>
      <c r="Y576">
        <f t="shared" si="53"/>
        <v>0</v>
      </c>
    </row>
    <row r="577" spans="1:25" x14ac:dyDescent="0.35">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c r="T577">
        <f t="shared" si="48"/>
        <v>1492.83</v>
      </c>
      <c r="U577">
        <f t="shared" si="49"/>
        <v>223.92449999999999</v>
      </c>
      <c r="V577">
        <f t="shared" si="50"/>
        <v>1268.9054999999998</v>
      </c>
      <c r="W577">
        <f t="shared" si="51"/>
        <v>5</v>
      </c>
      <c r="X577">
        <f t="shared" si="52"/>
        <v>-223.92450000000008</v>
      </c>
      <c r="Y577">
        <f t="shared" si="53"/>
        <v>0</v>
      </c>
    </row>
    <row r="578" spans="1:25" x14ac:dyDescent="0.35">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c r="T578">
        <f t="shared" si="48"/>
        <v>180.12</v>
      </c>
      <c r="U578">
        <f t="shared" si="49"/>
        <v>0</v>
      </c>
      <c r="V578">
        <f t="shared" si="50"/>
        <v>180.12</v>
      </c>
      <c r="W578">
        <f t="shared" si="51"/>
        <v>2</v>
      </c>
      <c r="X578">
        <f t="shared" si="52"/>
        <v>0</v>
      </c>
      <c r="Y578">
        <f t="shared" si="53"/>
        <v>0</v>
      </c>
    </row>
    <row r="579" spans="1:25" x14ac:dyDescent="0.35">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c r="T579">
        <f t="shared" ref="T579:T642" si="54">D579*E579</f>
        <v>442.16</v>
      </c>
      <c r="U579">
        <f t="shared" ref="U579:U642" si="55">T579*H579</f>
        <v>66.323999999999998</v>
      </c>
      <c r="V579">
        <f t="shared" ref="V579:V642" si="56">T579-U579</f>
        <v>375.83600000000001</v>
      </c>
      <c r="W579">
        <f t="shared" ref="W579:W642" si="57">R579-Q579</f>
        <v>2</v>
      </c>
      <c r="X579">
        <f t="shared" ref="X579:X642" si="58">V579-(E579*D579)</f>
        <v>-66.324000000000012</v>
      </c>
      <c r="Y579">
        <f t="shared" ref="Y579:Y642" si="59">IF(M579 = "Yes", -V579,0)</f>
        <v>0</v>
      </c>
    </row>
    <row r="580" spans="1:25" x14ac:dyDescent="0.35">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c r="T580">
        <f t="shared" si="54"/>
        <v>441.15</v>
      </c>
      <c r="U580">
        <f t="shared" si="55"/>
        <v>22.057500000000001</v>
      </c>
      <c r="V580">
        <f t="shared" si="56"/>
        <v>419.09249999999997</v>
      </c>
      <c r="W580">
        <f t="shared" si="57"/>
        <v>7</v>
      </c>
      <c r="X580">
        <f t="shared" si="58"/>
        <v>-22.057500000000005</v>
      </c>
      <c r="Y580">
        <f t="shared" si="59"/>
        <v>0</v>
      </c>
    </row>
    <row r="581" spans="1:25" x14ac:dyDescent="0.35">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c r="T581">
        <f t="shared" si="54"/>
        <v>3773.7000000000003</v>
      </c>
      <c r="U581">
        <f t="shared" si="55"/>
        <v>377.37000000000006</v>
      </c>
      <c r="V581">
        <f t="shared" si="56"/>
        <v>3396.3300000000004</v>
      </c>
      <c r="W581">
        <f t="shared" si="57"/>
        <v>7</v>
      </c>
      <c r="X581">
        <f t="shared" si="58"/>
        <v>-377.36999999999989</v>
      </c>
      <c r="Y581">
        <f t="shared" si="59"/>
        <v>0</v>
      </c>
    </row>
    <row r="582" spans="1:25" x14ac:dyDescent="0.35">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c r="T582">
        <f t="shared" si="54"/>
        <v>985.01</v>
      </c>
      <c r="U582">
        <f t="shared" si="55"/>
        <v>147.75149999999999</v>
      </c>
      <c r="V582">
        <f t="shared" si="56"/>
        <v>837.25850000000003</v>
      </c>
      <c r="W582">
        <f t="shared" si="57"/>
        <v>9</v>
      </c>
      <c r="X582">
        <f t="shared" si="58"/>
        <v>-147.75149999999996</v>
      </c>
      <c r="Y582">
        <f t="shared" si="59"/>
        <v>0</v>
      </c>
    </row>
    <row r="583" spans="1:25" x14ac:dyDescent="0.35">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c r="T583">
        <f t="shared" si="54"/>
        <v>1539.1999999999998</v>
      </c>
      <c r="U583">
        <f t="shared" si="55"/>
        <v>153.91999999999999</v>
      </c>
      <c r="V583">
        <f t="shared" si="56"/>
        <v>1385.2799999999997</v>
      </c>
      <c r="W583">
        <f t="shared" si="57"/>
        <v>8</v>
      </c>
      <c r="X583">
        <f t="shared" si="58"/>
        <v>-153.92000000000007</v>
      </c>
      <c r="Y583">
        <f t="shared" si="59"/>
        <v>0</v>
      </c>
    </row>
    <row r="584" spans="1:25" x14ac:dyDescent="0.35">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c r="T584">
        <f t="shared" si="54"/>
        <v>84.5</v>
      </c>
      <c r="U584">
        <f t="shared" si="55"/>
        <v>0</v>
      </c>
      <c r="V584">
        <f t="shared" si="56"/>
        <v>84.5</v>
      </c>
      <c r="W584">
        <f t="shared" si="57"/>
        <v>5</v>
      </c>
      <c r="X584">
        <f t="shared" si="58"/>
        <v>0</v>
      </c>
      <c r="Y584">
        <f t="shared" si="59"/>
        <v>0</v>
      </c>
    </row>
    <row r="585" spans="1:25" x14ac:dyDescent="0.35">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c r="T585">
        <f t="shared" si="54"/>
        <v>566.32000000000005</v>
      </c>
      <c r="U585">
        <f t="shared" si="55"/>
        <v>0</v>
      </c>
      <c r="V585">
        <f t="shared" si="56"/>
        <v>566.32000000000005</v>
      </c>
      <c r="W585">
        <f t="shared" si="57"/>
        <v>4</v>
      </c>
      <c r="X585">
        <f t="shared" si="58"/>
        <v>0</v>
      </c>
      <c r="Y585">
        <f t="shared" si="59"/>
        <v>0</v>
      </c>
    </row>
    <row r="586" spans="1:25" x14ac:dyDescent="0.35">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c r="T586">
        <f t="shared" si="54"/>
        <v>9939.9000000000015</v>
      </c>
      <c r="U586">
        <f t="shared" si="55"/>
        <v>993.99000000000024</v>
      </c>
      <c r="V586">
        <f t="shared" si="56"/>
        <v>8945.9100000000017</v>
      </c>
      <c r="W586">
        <f t="shared" si="57"/>
        <v>2</v>
      </c>
      <c r="X586">
        <f t="shared" si="58"/>
        <v>-993.98999999999978</v>
      </c>
      <c r="Y586">
        <f t="shared" si="59"/>
        <v>0</v>
      </c>
    </row>
    <row r="587" spans="1:25" x14ac:dyDescent="0.35">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c r="T587">
        <f t="shared" si="54"/>
        <v>93.08</v>
      </c>
      <c r="U587">
        <f t="shared" si="55"/>
        <v>13.962</v>
      </c>
      <c r="V587">
        <f t="shared" si="56"/>
        <v>79.117999999999995</v>
      </c>
      <c r="W587">
        <f t="shared" si="57"/>
        <v>7</v>
      </c>
      <c r="X587">
        <f t="shared" si="58"/>
        <v>-13.962000000000003</v>
      </c>
      <c r="Y587">
        <f t="shared" si="59"/>
        <v>0</v>
      </c>
    </row>
    <row r="588" spans="1:25" x14ac:dyDescent="0.35">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c r="T588">
        <f t="shared" si="54"/>
        <v>2204.65</v>
      </c>
      <c r="U588">
        <f t="shared" si="55"/>
        <v>220.46500000000003</v>
      </c>
      <c r="V588">
        <f t="shared" si="56"/>
        <v>1984.1849999999999</v>
      </c>
      <c r="W588">
        <f t="shared" si="57"/>
        <v>4</v>
      </c>
      <c r="X588">
        <f t="shared" si="58"/>
        <v>-220.46500000000015</v>
      </c>
      <c r="Y588">
        <f t="shared" si="59"/>
        <v>0</v>
      </c>
    </row>
    <row r="589" spans="1:25" x14ac:dyDescent="0.35">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c r="T589">
        <f t="shared" si="54"/>
        <v>2784.5</v>
      </c>
      <c r="U589">
        <f t="shared" si="55"/>
        <v>0</v>
      </c>
      <c r="V589">
        <f t="shared" si="56"/>
        <v>2784.5</v>
      </c>
      <c r="W589">
        <f t="shared" si="57"/>
        <v>6</v>
      </c>
      <c r="X589">
        <f t="shared" si="58"/>
        <v>0</v>
      </c>
      <c r="Y589">
        <f t="shared" si="59"/>
        <v>0</v>
      </c>
    </row>
    <row r="590" spans="1:25" x14ac:dyDescent="0.35">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c r="T590">
        <f t="shared" si="54"/>
        <v>5350.66</v>
      </c>
      <c r="U590">
        <f t="shared" si="55"/>
        <v>267.53300000000002</v>
      </c>
      <c r="V590">
        <f t="shared" si="56"/>
        <v>5083.1269999999995</v>
      </c>
      <c r="W590">
        <f t="shared" si="57"/>
        <v>3</v>
      </c>
      <c r="X590">
        <f t="shared" si="58"/>
        <v>-267.53300000000036</v>
      </c>
      <c r="Y590">
        <f t="shared" si="59"/>
        <v>0</v>
      </c>
    </row>
    <row r="591" spans="1:25" x14ac:dyDescent="0.35">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c r="T591">
        <f t="shared" si="54"/>
        <v>3254.86</v>
      </c>
      <c r="U591">
        <f t="shared" si="55"/>
        <v>162.74300000000002</v>
      </c>
      <c r="V591">
        <f t="shared" si="56"/>
        <v>3092.1170000000002</v>
      </c>
      <c r="W591">
        <f t="shared" si="57"/>
        <v>4</v>
      </c>
      <c r="X591">
        <f t="shared" si="58"/>
        <v>-162.74299999999994</v>
      </c>
      <c r="Y591">
        <f t="shared" si="59"/>
        <v>0</v>
      </c>
    </row>
    <row r="592" spans="1:25" x14ac:dyDescent="0.35">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c r="T592">
        <f t="shared" si="54"/>
        <v>255.17</v>
      </c>
      <c r="U592">
        <f t="shared" si="55"/>
        <v>38.275499999999994</v>
      </c>
      <c r="V592">
        <f t="shared" si="56"/>
        <v>216.89449999999999</v>
      </c>
      <c r="W592">
        <f t="shared" si="57"/>
        <v>6</v>
      </c>
      <c r="X592">
        <f t="shared" si="58"/>
        <v>-38.275499999999994</v>
      </c>
      <c r="Y592">
        <f t="shared" si="59"/>
        <v>0</v>
      </c>
    </row>
    <row r="593" spans="1:25" x14ac:dyDescent="0.35">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c r="T593">
        <f t="shared" si="54"/>
        <v>323.51</v>
      </c>
      <c r="U593">
        <f t="shared" si="55"/>
        <v>16.1755</v>
      </c>
      <c r="V593">
        <f t="shared" si="56"/>
        <v>307.33449999999999</v>
      </c>
      <c r="W593">
        <f t="shared" si="57"/>
        <v>5</v>
      </c>
      <c r="X593">
        <f t="shared" si="58"/>
        <v>-16.1755</v>
      </c>
      <c r="Y593">
        <f t="shared" si="59"/>
        <v>0</v>
      </c>
    </row>
    <row r="594" spans="1:25" x14ac:dyDescent="0.35">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c r="T594">
        <f t="shared" si="54"/>
        <v>486.19</v>
      </c>
      <c r="U594">
        <f t="shared" si="55"/>
        <v>24.3095</v>
      </c>
      <c r="V594">
        <f t="shared" si="56"/>
        <v>461.88049999999998</v>
      </c>
      <c r="W594">
        <f t="shared" si="57"/>
        <v>3</v>
      </c>
      <c r="X594">
        <f t="shared" si="58"/>
        <v>-24.309500000000014</v>
      </c>
      <c r="Y594">
        <f t="shared" si="59"/>
        <v>0</v>
      </c>
    </row>
    <row r="595" spans="1:25" x14ac:dyDescent="0.35">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c r="T595">
        <f t="shared" si="54"/>
        <v>1600.02</v>
      </c>
      <c r="U595">
        <f t="shared" si="55"/>
        <v>80.001000000000005</v>
      </c>
      <c r="V595">
        <f t="shared" si="56"/>
        <v>1520.019</v>
      </c>
      <c r="W595">
        <f t="shared" si="57"/>
        <v>8</v>
      </c>
      <c r="X595">
        <f t="shared" si="58"/>
        <v>-80.000999999999976</v>
      </c>
      <c r="Y595">
        <f t="shared" si="59"/>
        <v>0</v>
      </c>
    </row>
    <row r="596" spans="1:25" x14ac:dyDescent="0.35">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c r="T596">
        <f t="shared" si="54"/>
        <v>902.40000000000009</v>
      </c>
      <c r="U596">
        <f t="shared" si="55"/>
        <v>90.240000000000009</v>
      </c>
      <c r="V596">
        <f t="shared" si="56"/>
        <v>812.16000000000008</v>
      </c>
      <c r="W596">
        <f t="shared" si="57"/>
        <v>6</v>
      </c>
      <c r="X596">
        <f t="shared" si="58"/>
        <v>-90.240000000000009</v>
      </c>
      <c r="Y596">
        <f t="shared" si="59"/>
        <v>0</v>
      </c>
    </row>
    <row r="597" spans="1:25" x14ac:dyDescent="0.35">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c r="T597">
        <f t="shared" si="54"/>
        <v>875.93</v>
      </c>
      <c r="U597">
        <f t="shared" si="55"/>
        <v>43.796500000000002</v>
      </c>
      <c r="V597">
        <f t="shared" si="56"/>
        <v>832.13349999999991</v>
      </c>
      <c r="W597">
        <f t="shared" si="57"/>
        <v>6</v>
      </c>
      <c r="X597">
        <f t="shared" si="58"/>
        <v>-43.796500000000037</v>
      </c>
      <c r="Y597">
        <f t="shared" si="59"/>
        <v>0</v>
      </c>
    </row>
    <row r="598" spans="1:25" x14ac:dyDescent="0.35">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c r="T598">
        <f t="shared" si="54"/>
        <v>3034.2</v>
      </c>
      <c r="U598">
        <f t="shared" si="55"/>
        <v>0</v>
      </c>
      <c r="V598">
        <f t="shared" si="56"/>
        <v>3034.2</v>
      </c>
      <c r="W598">
        <f t="shared" si="57"/>
        <v>9</v>
      </c>
      <c r="X598">
        <f t="shared" si="58"/>
        <v>0</v>
      </c>
      <c r="Y598">
        <f t="shared" si="59"/>
        <v>0</v>
      </c>
    </row>
    <row r="599" spans="1:25" x14ac:dyDescent="0.35">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c r="T599">
        <f t="shared" si="54"/>
        <v>2848.1</v>
      </c>
      <c r="U599">
        <f t="shared" si="55"/>
        <v>0</v>
      </c>
      <c r="V599">
        <f t="shared" si="56"/>
        <v>2848.1</v>
      </c>
      <c r="W599">
        <f t="shared" si="57"/>
        <v>2</v>
      </c>
      <c r="X599">
        <f t="shared" si="58"/>
        <v>0</v>
      </c>
      <c r="Y599">
        <f t="shared" si="59"/>
        <v>0</v>
      </c>
    </row>
    <row r="600" spans="1:25" x14ac:dyDescent="0.35">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c r="T600">
        <f t="shared" si="54"/>
        <v>1726.1499999999999</v>
      </c>
      <c r="U600">
        <f t="shared" si="55"/>
        <v>86.307500000000005</v>
      </c>
      <c r="V600">
        <f t="shared" si="56"/>
        <v>1639.8424999999997</v>
      </c>
      <c r="W600">
        <f t="shared" si="57"/>
        <v>6</v>
      </c>
      <c r="X600">
        <f t="shared" si="58"/>
        <v>-86.307500000000118</v>
      </c>
      <c r="Y600">
        <f t="shared" si="59"/>
        <v>0</v>
      </c>
    </row>
    <row r="601" spans="1:25" x14ac:dyDescent="0.35">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c r="T601">
        <f t="shared" si="54"/>
        <v>593.82000000000005</v>
      </c>
      <c r="U601">
        <f t="shared" si="55"/>
        <v>29.691000000000003</v>
      </c>
      <c r="V601">
        <f t="shared" si="56"/>
        <v>564.12900000000002</v>
      </c>
      <c r="W601">
        <f t="shared" si="57"/>
        <v>3</v>
      </c>
      <c r="X601">
        <f t="shared" si="58"/>
        <v>-29.691000000000031</v>
      </c>
      <c r="Y601">
        <f t="shared" si="59"/>
        <v>0</v>
      </c>
    </row>
    <row r="602" spans="1:25" x14ac:dyDescent="0.35">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c r="T602">
        <f t="shared" si="54"/>
        <v>12.38</v>
      </c>
      <c r="U602">
        <f t="shared" si="55"/>
        <v>1.2380000000000002</v>
      </c>
      <c r="V602">
        <f t="shared" si="56"/>
        <v>11.142000000000001</v>
      </c>
      <c r="W602">
        <f t="shared" si="57"/>
        <v>10</v>
      </c>
      <c r="X602">
        <f t="shared" si="58"/>
        <v>-1.2379999999999995</v>
      </c>
      <c r="Y602">
        <f t="shared" si="59"/>
        <v>0</v>
      </c>
    </row>
    <row r="603" spans="1:25" x14ac:dyDescent="0.35">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c r="T603">
        <f t="shared" si="54"/>
        <v>3732.2999999999997</v>
      </c>
      <c r="U603">
        <f t="shared" si="55"/>
        <v>559.84499999999991</v>
      </c>
      <c r="V603">
        <f t="shared" si="56"/>
        <v>3172.4549999999999</v>
      </c>
      <c r="W603">
        <f t="shared" si="57"/>
        <v>2</v>
      </c>
      <c r="X603">
        <f t="shared" si="58"/>
        <v>-559.8449999999998</v>
      </c>
      <c r="Y603">
        <f t="shared" si="59"/>
        <v>0</v>
      </c>
    </row>
    <row r="604" spans="1:25" x14ac:dyDescent="0.35">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c r="T604">
        <f t="shared" si="54"/>
        <v>376.34999999999997</v>
      </c>
      <c r="U604">
        <f t="shared" si="55"/>
        <v>0</v>
      </c>
      <c r="V604">
        <f t="shared" si="56"/>
        <v>376.34999999999997</v>
      </c>
      <c r="W604">
        <f t="shared" si="57"/>
        <v>9</v>
      </c>
      <c r="X604">
        <f t="shared" si="58"/>
        <v>0</v>
      </c>
      <c r="Y604">
        <f t="shared" si="59"/>
        <v>0</v>
      </c>
    </row>
    <row r="605" spans="1:25" x14ac:dyDescent="0.35">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c r="T605">
        <f t="shared" si="54"/>
        <v>408.45000000000005</v>
      </c>
      <c r="U605">
        <f t="shared" si="55"/>
        <v>40.845000000000006</v>
      </c>
      <c r="V605">
        <f t="shared" si="56"/>
        <v>367.60500000000002</v>
      </c>
      <c r="W605">
        <f t="shared" si="57"/>
        <v>4</v>
      </c>
      <c r="X605">
        <f t="shared" si="58"/>
        <v>-40.845000000000027</v>
      </c>
      <c r="Y605">
        <f t="shared" si="59"/>
        <v>0</v>
      </c>
    </row>
    <row r="606" spans="1:25" x14ac:dyDescent="0.35">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c r="T606">
        <f t="shared" si="54"/>
        <v>2723.2999999999997</v>
      </c>
      <c r="U606">
        <f t="shared" si="55"/>
        <v>272.33</v>
      </c>
      <c r="V606">
        <f t="shared" si="56"/>
        <v>2450.9699999999998</v>
      </c>
      <c r="W606">
        <f t="shared" si="57"/>
        <v>6</v>
      </c>
      <c r="X606">
        <f t="shared" si="58"/>
        <v>-272.32999999999993</v>
      </c>
      <c r="Y606">
        <f t="shared" si="59"/>
        <v>0</v>
      </c>
    </row>
    <row r="607" spans="1:25" x14ac:dyDescent="0.35">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c r="T607">
        <f t="shared" si="54"/>
        <v>4495.2</v>
      </c>
      <c r="U607">
        <f t="shared" si="55"/>
        <v>674.28</v>
      </c>
      <c r="V607">
        <f t="shared" si="56"/>
        <v>3820.92</v>
      </c>
      <c r="W607">
        <f t="shared" si="57"/>
        <v>7</v>
      </c>
      <c r="X607">
        <f t="shared" si="58"/>
        <v>-674.27999999999975</v>
      </c>
      <c r="Y607">
        <f t="shared" si="59"/>
        <v>0</v>
      </c>
    </row>
    <row r="608" spans="1:25" x14ac:dyDescent="0.35">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c r="T608">
        <f t="shared" si="54"/>
        <v>6269.4000000000005</v>
      </c>
      <c r="U608">
        <f t="shared" si="55"/>
        <v>940.41000000000008</v>
      </c>
      <c r="V608">
        <f t="shared" si="56"/>
        <v>5328.9900000000007</v>
      </c>
      <c r="W608">
        <f t="shared" si="57"/>
        <v>3</v>
      </c>
      <c r="X608">
        <f t="shared" si="58"/>
        <v>-940.40999999999985</v>
      </c>
      <c r="Y608">
        <f t="shared" si="59"/>
        <v>0</v>
      </c>
    </row>
    <row r="609" spans="1:25" x14ac:dyDescent="0.35">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c r="T609">
        <f t="shared" si="54"/>
        <v>418.45</v>
      </c>
      <c r="U609">
        <f t="shared" si="55"/>
        <v>62.767499999999998</v>
      </c>
      <c r="V609">
        <f t="shared" si="56"/>
        <v>355.6825</v>
      </c>
      <c r="W609">
        <f t="shared" si="57"/>
        <v>2</v>
      </c>
      <c r="X609">
        <f t="shared" si="58"/>
        <v>-62.767499999999984</v>
      </c>
      <c r="Y609">
        <f t="shared" si="59"/>
        <v>0</v>
      </c>
    </row>
    <row r="610" spans="1:25" x14ac:dyDescent="0.35">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c r="T610">
        <f t="shared" si="54"/>
        <v>3366</v>
      </c>
      <c r="U610">
        <f t="shared" si="55"/>
        <v>336.6</v>
      </c>
      <c r="V610">
        <f t="shared" si="56"/>
        <v>3029.4</v>
      </c>
      <c r="W610">
        <f t="shared" si="57"/>
        <v>3</v>
      </c>
      <c r="X610">
        <f t="shared" si="58"/>
        <v>-336.59999999999991</v>
      </c>
      <c r="Y610">
        <f t="shared" si="59"/>
        <v>0</v>
      </c>
    </row>
    <row r="611" spans="1:25" x14ac:dyDescent="0.35">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c r="T611">
        <f t="shared" si="54"/>
        <v>8229.76</v>
      </c>
      <c r="U611">
        <f t="shared" si="55"/>
        <v>0</v>
      </c>
      <c r="V611">
        <f t="shared" si="56"/>
        <v>8229.76</v>
      </c>
      <c r="W611">
        <f t="shared" si="57"/>
        <v>3</v>
      </c>
      <c r="X611">
        <f t="shared" si="58"/>
        <v>0</v>
      </c>
      <c r="Y611">
        <f t="shared" si="59"/>
        <v>0</v>
      </c>
    </row>
    <row r="612" spans="1:25" x14ac:dyDescent="0.35">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c r="T612">
        <f t="shared" si="54"/>
        <v>594.4</v>
      </c>
      <c r="U612">
        <f t="shared" si="55"/>
        <v>59.44</v>
      </c>
      <c r="V612">
        <f t="shared" si="56"/>
        <v>534.96</v>
      </c>
      <c r="W612">
        <f t="shared" si="57"/>
        <v>5</v>
      </c>
      <c r="X612">
        <f t="shared" si="58"/>
        <v>-59.439999999999941</v>
      </c>
      <c r="Y612">
        <f t="shared" si="59"/>
        <v>0</v>
      </c>
    </row>
    <row r="613" spans="1:25" x14ac:dyDescent="0.35">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c r="T613">
        <f t="shared" si="54"/>
        <v>2780</v>
      </c>
      <c r="U613">
        <f t="shared" si="55"/>
        <v>0</v>
      </c>
      <c r="V613">
        <f t="shared" si="56"/>
        <v>2780</v>
      </c>
      <c r="W613">
        <f t="shared" si="57"/>
        <v>10</v>
      </c>
      <c r="X613">
        <f t="shared" si="58"/>
        <v>0</v>
      </c>
      <c r="Y613">
        <f t="shared" si="59"/>
        <v>0</v>
      </c>
    </row>
    <row r="614" spans="1:25" x14ac:dyDescent="0.35">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c r="T614">
        <f t="shared" si="54"/>
        <v>4665.3599999999997</v>
      </c>
      <c r="U614">
        <f t="shared" si="55"/>
        <v>466.536</v>
      </c>
      <c r="V614">
        <f t="shared" si="56"/>
        <v>4198.8239999999996</v>
      </c>
      <c r="W614">
        <f t="shared" si="57"/>
        <v>4</v>
      </c>
      <c r="X614">
        <f t="shared" si="58"/>
        <v>-466.53600000000006</v>
      </c>
      <c r="Y614">
        <f t="shared" si="59"/>
        <v>0</v>
      </c>
    </row>
    <row r="615" spans="1:25" x14ac:dyDescent="0.35">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c r="T615">
        <f t="shared" si="54"/>
        <v>1209.92</v>
      </c>
      <c r="U615">
        <f t="shared" si="55"/>
        <v>120.99200000000002</v>
      </c>
      <c r="V615">
        <f t="shared" si="56"/>
        <v>1088.9280000000001</v>
      </c>
      <c r="W615">
        <f t="shared" si="57"/>
        <v>4</v>
      </c>
      <c r="X615">
        <f t="shared" si="58"/>
        <v>-120.99199999999996</v>
      </c>
      <c r="Y615">
        <f t="shared" si="59"/>
        <v>0</v>
      </c>
    </row>
    <row r="616" spans="1:25" x14ac:dyDescent="0.35">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c r="T616">
        <f t="shared" si="54"/>
        <v>7301.06</v>
      </c>
      <c r="U616">
        <f t="shared" si="55"/>
        <v>365.05300000000005</v>
      </c>
      <c r="V616">
        <f t="shared" si="56"/>
        <v>6936.0070000000005</v>
      </c>
      <c r="W616">
        <f t="shared" si="57"/>
        <v>4</v>
      </c>
      <c r="X616">
        <f t="shared" si="58"/>
        <v>-365.05299999999988</v>
      </c>
      <c r="Y616">
        <f t="shared" si="59"/>
        <v>0</v>
      </c>
    </row>
    <row r="617" spans="1:25" x14ac:dyDescent="0.35">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c r="T617">
        <f t="shared" si="54"/>
        <v>1798.0500000000002</v>
      </c>
      <c r="U617">
        <f t="shared" si="55"/>
        <v>0</v>
      </c>
      <c r="V617">
        <f t="shared" si="56"/>
        <v>1798.0500000000002</v>
      </c>
      <c r="W617">
        <f t="shared" si="57"/>
        <v>10</v>
      </c>
      <c r="X617">
        <f t="shared" si="58"/>
        <v>0</v>
      </c>
      <c r="Y617">
        <f t="shared" si="59"/>
        <v>0</v>
      </c>
    </row>
    <row r="618" spans="1:25" x14ac:dyDescent="0.35">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c r="T618">
        <f t="shared" si="54"/>
        <v>1732.2</v>
      </c>
      <c r="U618">
        <f t="shared" si="55"/>
        <v>259.83</v>
      </c>
      <c r="V618">
        <f t="shared" si="56"/>
        <v>1472.3700000000001</v>
      </c>
      <c r="W618">
        <f t="shared" si="57"/>
        <v>10</v>
      </c>
      <c r="X618">
        <f t="shared" si="58"/>
        <v>-259.82999999999993</v>
      </c>
      <c r="Y618">
        <f t="shared" si="59"/>
        <v>0</v>
      </c>
    </row>
    <row r="619" spans="1:25" x14ac:dyDescent="0.35">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c r="T619">
        <f t="shared" si="54"/>
        <v>7155.12</v>
      </c>
      <c r="U619">
        <f t="shared" si="55"/>
        <v>1073.268</v>
      </c>
      <c r="V619">
        <f t="shared" si="56"/>
        <v>6081.8519999999999</v>
      </c>
      <c r="W619">
        <f t="shared" si="57"/>
        <v>8</v>
      </c>
      <c r="X619">
        <f t="shared" si="58"/>
        <v>-1073.268</v>
      </c>
      <c r="Y619">
        <f t="shared" si="59"/>
        <v>0</v>
      </c>
    </row>
    <row r="620" spans="1:25" x14ac:dyDescent="0.35">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c r="T620">
        <f t="shared" si="54"/>
        <v>7631.92</v>
      </c>
      <c r="U620">
        <f t="shared" si="55"/>
        <v>381.596</v>
      </c>
      <c r="V620">
        <f t="shared" si="56"/>
        <v>7250.3240000000005</v>
      </c>
      <c r="W620">
        <f t="shared" si="57"/>
        <v>6</v>
      </c>
      <c r="X620">
        <f t="shared" si="58"/>
        <v>-381.59599999999955</v>
      </c>
      <c r="Y620">
        <f t="shared" si="59"/>
        <v>0</v>
      </c>
    </row>
    <row r="621" spans="1:25" x14ac:dyDescent="0.35">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c r="T621">
        <f t="shared" si="54"/>
        <v>1467.44</v>
      </c>
      <c r="U621">
        <f t="shared" si="55"/>
        <v>0</v>
      </c>
      <c r="V621">
        <f t="shared" si="56"/>
        <v>1467.44</v>
      </c>
      <c r="W621">
        <f t="shared" si="57"/>
        <v>2</v>
      </c>
      <c r="X621">
        <f t="shared" si="58"/>
        <v>0</v>
      </c>
      <c r="Y621">
        <f t="shared" si="59"/>
        <v>0</v>
      </c>
    </row>
    <row r="622" spans="1:25" x14ac:dyDescent="0.35">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c r="T622">
        <f t="shared" si="54"/>
        <v>2220.48</v>
      </c>
      <c r="U622">
        <f t="shared" si="55"/>
        <v>333.072</v>
      </c>
      <c r="V622">
        <f t="shared" si="56"/>
        <v>1887.4079999999999</v>
      </c>
      <c r="W622">
        <f t="shared" si="57"/>
        <v>8</v>
      </c>
      <c r="X622">
        <f t="shared" si="58"/>
        <v>-333.07200000000012</v>
      </c>
      <c r="Y622">
        <f t="shared" si="59"/>
        <v>0</v>
      </c>
    </row>
    <row r="623" spans="1:25" x14ac:dyDescent="0.35">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c r="T623">
        <f t="shared" si="54"/>
        <v>1797.9</v>
      </c>
      <c r="U623">
        <f t="shared" si="55"/>
        <v>269.685</v>
      </c>
      <c r="V623">
        <f t="shared" si="56"/>
        <v>1528.2150000000001</v>
      </c>
      <c r="W623">
        <f t="shared" si="57"/>
        <v>5</v>
      </c>
      <c r="X623">
        <f t="shared" si="58"/>
        <v>-269.68499999999995</v>
      </c>
      <c r="Y623">
        <f t="shared" si="59"/>
        <v>0</v>
      </c>
    </row>
    <row r="624" spans="1:25" x14ac:dyDescent="0.35">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c r="T624">
        <f t="shared" si="54"/>
        <v>1357.2</v>
      </c>
      <c r="U624">
        <f t="shared" si="55"/>
        <v>203.58</v>
      </c>
      <c r="V624">
        <f t="shared" si="56"/>
        <v>1153.6200000000001</v>
      </c>
      <c r="W624">
        <f t="shared" si="57"/>
        <v>8</v>
      </c>
      <c r="X624">
        <f t="shared" si="58"/>
        <v>-203.57999999999993</v>
      </c>
      <c r="Y624">
        <f t="shared" si="59"/>
        <v>0</v>
      </c>
    </row>
    <row r="625" spans="1:25" x14ac:dyDescent="0.35">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c r="T625">
        <f t="shared" si="54"/>
        <v>3270.5099999999998</v>
      </c>
      <c r="U625">
        <f t="shared" si="55"/>
        <v>163.52549999999999</v>
      </c>
      <c r="V625">
        <f t="shared" si="56"/>
        <v>3106.9844999999996</v>
      </c>
      <c r="W625">
        <f t="shared" si="57"/>
        <v>2</v>
      </c>
      <c r="X625">
        <f t="shared" si="58"/>
        <v>-163.52550000000019</v>
      </c>
      <c r="Y625">
        <f t="shared" si="59"/>
        <v>0</v>
      </c>
    </row>
    <row r="626" spans="1:25" x14ac:dyDescent="0.35">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c r="T626">
        <f t="shared" si="54"/>
        <v>6405.24</v>
      </c>
      <c r="U626">
        <f t="shared" si="55"/>
        <v>960.78599999999994</v>
      </c>
      <c r="V626">
        <f t="shared" si="56"/>
        <v>5444.4539999999997</v>
      </c>
      <c r="W626">
        <f t="shared" si="57"/>
        <v>5</v>
      </c>
      <c r="X626">
        <f t="shared" si="58"/>
        <v>-960.78600000000006</v>
      </c>
      <c r="Y626">
        <f t="shared" si="59"/>
        <v>0</v>
      </c>
    </row>
    <row r="627" spans="1:25" x14ac:dyDescent="0.35">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c r="T627">
        <f t="shared" si="54"/>
        <v>2304.36</v>
      </c>
      <c r="U627">
        <f t="shared" si="55"/>
        <v>230.43600000000004</v>
      </c>
      <c r="V627">
        <f t="shared" si="56"/>
        <v>2073.924</v>
      </c>
      <c r="W627">
        <f t="shared" si="57"/>
        <v>8</v>
      </c>
      <c r="X627">
        <f t="shared" si="58"/>
        <v>-230.43600000000015</v>
      </c>
      <c r="Y627">
        <f t="shared" si="59"/>
        <v>0</v>
      </c>
    </row>
    <row r="628" spans="1:25" x14ac:dyDescent="0.35">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c r="T628">
        <f t="shared" si="54"/>
        <v>10084.400000000001</v>
      </c>
      <c r="U628">
        <f t="shared" si="55"/>
        <v>0</v>
      </c>
      <c r="V628">
        <f t="shared" si="56"/>
        <v>10084.400000000001</v>
      </c>
      <c r="W628">
        <f t="shared" si="57"/>
        <v>9</v>
      </c>
      <c r="X628">
        <f t="shared" si="58"/>
        <v>0</v>
      </c>
      <c r="Y628">
        <f t="shared" si="59"/>
        <v>0</v>
      </c>
    </row>
    <row r="629" spans="1:25" x14ac:dyDescent="0.35">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c r="T629">
        <f t="shared" si="54"/>
        <v>1355.62</v>
      </c>
      <c r="U629">
        <f t="shared" si="55"/>
        <v>135.56199999999998</v>
      </c>
      <c r="V629">
        <f t="shared" si="56"/>
        <v>1220.058</v>
      </c>
      <c r="W629">
        <f t="shared" si="57"/>
        <v>9</v>
      </c>
      <c r="X629">
        <f t="shared" si="58"/>
        <v>-135.5619999999999</v>
      </c>
      <c r="Y629">
        <f t="shared" si="59"/>
        <v>0</v>
      </c>
    </row>
    <row r="630" spans="1:25" x14ac:dyDescent="0.35">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c r="T630">
        <f t="shared" si="54"/>
        <v>812.49</v>
      </c>
      <c r="U630">
        <f t="shared" si="55"/>
        <v>81.249000000000009</v>
      </c>
      <c r="V630">
        <f t="shared" si="56"/>
        <v>731.24099999999999</v>
      </c>
      <c r="W630">
        <f t="shared" si="57"/>
        <v>5</v>
      </c>
      <c r="X630">
        <f t="shared" si="58"/>
        <v>-81.249000000000024</v>
      </c>
      <c r="Y630">
        <f t="shared" si="59"/>
        <v>0</v>
      </c>
    </row>
    <row r="631" spans="1:25" x14ac:dyDescent="0.35">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c r="T631">
        <f t="shared" si="54"/>
        <v>1117.44</v>
      </c>
      <c r="U631">
        <f t="shared" si="55"/>
        <v>0</v>
      </c>
      <c r="V631">
        <f t="shared" si="56"/>
        <v>1117.44</v>
      </c>
      <c r="W631">
        <f t="shared" si="57"/>
        <v>9</v>
      </c>
      <c r="X631">
        <f t="shared" si="58"/>
        <v>0</v>
      </c>
      <c r="Y631">
        <f t="shared" si="59"/>
        <v>0</v>
      </c>
    </row>
    <row r="632" spans="1:25" x14ac:dyDescent="0.35">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c r="T632">
        <f t="shared" si="54"/>
        <v>5565.5599999999995</v>
      </c>
      <c r="U632">
        <f t="shared" si="55"/>
        <v>834.83399999999995</v>
      </c>
      <c r="V632">
        <f t="shared" si="56"/>
        <v>4730.7259999999997</v>
      </c>
      <c r="W632">
        <f t="shared" si="57"/>
        <v>4</v>
      </c>
      <c r="X632">
        <f t="shared" si="58"/>
        <v>-834.83399999999983</v>
      </c>
      <c r="Y632">
        <f t="shared" si="59"/>
        <v>0</v>
      </c>
    </row>
    <row r="633" spans="1:25" x14ac:dyDescent="0.35">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c r="T633">
        <f t="shared" si="54"/>
        <v>249.84</v>
      </c>
      <c r="U633">
        <f t="shared" si="55"/>
        <v>37.475999999999999</v>
      </c>
      <c r="V633">
        <f t="shared" si="56"/>
        <v>212.364</v>
      </c>
      <c r="W633">
        <f t="shared" si="57"/>
        <v>8</v>
      </c>
      <c r="X633">
        <f t="shared" si="58"/>
        <v>-37.475999999999999</v>
      </c>
      <c r="Y633">
        <f t="shared" si="59"/>
        <v>0</v>
      </c>
    </row>
    <row r="634" spans="1:25" x14ac:dyDescent="0.35">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c r="T634">
        <f t="shared" si="54"/>
        <v>3360.56</v>
      </c>
      <c r="U634">
        <f t="shared" si="55"/>
        <v>336.05600000000004</v>
      </c>
      <c r="V634">
        <f t="shared" si="56"/>
        <v>3024.5039999999999</v>
      </c>
      <c r="W634">
        <f t="shared" si="57"/>
        <v>5</v>
      </c>
      <c r="X634">
        <f t="shared" si="58"/>
        <v>-336.05600000000004</v>
      </c>
      <c r="Y634">
        <f t="shared" si="59"/>
        <v>0</v>
      </c>
    </row>
    <row r="635" spans="1:25" x14ac:dyDescent="0.35">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c r="T635">
        <f t="shared" si="54"/>
        <v>1091.8799999999999</v>
      </c>
      <c r="U635">
        <f t="shared" si="55"/>
        <v>0</v>
      </c>
      <c r="V635">
        <f t="shared" si="56"/>
        <v>1091.8799999999999</v>
      </c>
      <c r="W635">
        <f t="shared" si="57"/>
        <v>5</v>
      </c>
      <c r="X635">
        <f t="shared" si="58"/>
        <v>0</v>
      </c>
      <c r="Y635">
        <f t="shared" si="59"/>
        <v>0</v>
      </c>
    </row>
    <row r="636" spans="1:25" x14ac:dyDescent="0.35">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c r="T636">
        <f t="shared" si="54"/>
        <v>1494.54</v>
      </c>
      <c r="U636">
        <f t="shared" si="55"/>
        <v>74.727000000000004</v>
      </c>
      <c r="V636">
        <f t="shared" si="56"/>
        <v>1419.8129999999999</v>
      </c>
      <c r="W636">
        <f t="shared" si="57"/>
        <v>6</v>
      </c>
      <c r="X636">
        <f t="shared" si="58"/>
        <v>-74.727000000000089</v>
      </c>
      <c r="Y636">
        <f t="shared" si="59"/>
        <v>0</v>
      </c>
    </row>
    <row r="637" spans="1:25" x14ac:dyDescent="0.35">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c r="T637">
        <f t="shared" si="54"/>
        <v>8001</v>
      </c>
      <c r="U637">
        <f t="shared" si="55"/>
        <v>800.1</v>
      </c>
      <c r="V637">
        <f t="shared" si="56"/>
        <v>7200.9</v>
      </c>
      <c r="W637">
        <f t="shared" si="57"/>
        <v>2</v>
      </c>
      <c r="X637">
        <f t="shared" si="58"/>
        <v>-800.10000000000036</v>
      </c>
      <c r="Y637">
        <f t="shared" si="59"/>
        <v>0</v>
      </c>
    </row>
    <row r="638" spans="1:25" x14ac:dyDescent="0.35">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c r="T638">
        <f t="shared" si="54"/>
        <v>130.87</v>
      </c>
      <c r="U638">
        <f t="shared" si="55"/>
        <v>6.5435000000000008</v>
      </c>
      <c r="V638">
        <f t="shared" si="56"/>
        <v>124.32650000000001</v>
      </c>
      <c r="W638">
        <f t="shared" si="57"/>
        <v>3</v>
      </c>
      <c r="X638">
        <f t="shared" si="58"/>
        <v>-6.5434999999999945</v>
      </c>
      <c r="Y638">
        <f t="shared" si="59"/>
        <v>0</v>
      </c>
    </row>
    <row r="639" spans="1:25" x14ac:dyDescent="0.35">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c r="T639">
        <f t="shared" si="54"/>
        <v>1463.88</v>
      </c>
      <c r="U639">
        <f t="shared" si="55"/>
        <v>219.58200000000002</v>
      </c>
      <c r="V639">
        <f t="shared" si="56"/>
        <v>1244.298</v>
      </c>
      <c r="W639">
        <f t="shared" si="57"/>
        <v>9</v>
      </c>
      <c r="X639">
        <f t="shared" si="58"/>
        <v>-219.58200000000011</v>
      </c>
      <c r="Y639">
        <f t="shared" si="59"/>
        <v>0</v>
      </c>
    </row>
    <row r="640" spans="1:25" x14ac:dyDescent="0.35">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c r="T640">
        <f t="shared" si="54"/>
        <v>5832.84</v>
      </c>
      <c r="U640">
        <f t="shared" si="55"/>
        <v>583.28399999999999</v>
      </c>
      <c r="V640">
        <f t="shared" si="56"/>
        <v>5249.5560000000005</v>
      </c>
      <c r="W640">
        <f t="shared" si="57"/>
        <v>4</v>
      </c>
      <c r="X640">
        <f t="shared" si="58"/>
        <v>-583.28399999999965</v>
      </c>
      <c r="Y640">
        <f t="shared" si="59"/>
        <v>0</v>
      </c>
    </row>
    <row r="641" spans="1:25" x14ac:dyDescent="0.35">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c r="T641">
        <f t="shared" si="54"/>
        <v>688.36999999999989</v>
      </c>
      <c r="U641">
        <f t="shared" si="55"/>
        <v>0</v>
      </c>
      <c r="V641">
        <f t="shared" si="56"/>
        <v>688.36999999999989</v>
      </c>
      <c r="W641">
        <f t="shared" si="57"/>
        <v>3</v>
      </c>
      <c r="X641">
        <f t="shared" si="58"/>
        <v>0</v>
      </c>
      <c r="Y641">
        <f t="shared" si="59"/>
        <v>0</v>
      </c>
    </row>
    <row r="642" spans="1:25" x14ac:dyDescent="0.35">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c r="T642">
        <f t="shared" si="54"/>
        <v>1592.78</v>
      </c>
      <c r="U642">
        <f t="shared" si="55"/>
        <v>0</v>
      </c>
      <c r="V642">
        <f t="shared" si="56"/>
        <v>1592.78</v>
      </c>
      <c r="W642">
        <f t="shared" si="57"/>
        <v>5</v>
      </c>
      <c r="X642">
        <f t="shared" si="58"/>
        <v>0</v>
      </c>
      <c r="Y642">
        <f t="shared" si="59"/>
        <v>0</v>
      </c>
    </row>
    <row r="643" spans="1:25" x14ac:dyDescent="0.35">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c r="T643">
        <f t="shared" ref="T643:T706" si="60">D643*E643</f>
        <v>179.2</v>
      </c>
      <c r="U643">
        <f t="shared" ref="U643:U706" si="61">T643*H643</f>
        <v>0</v>
      </c>
      <c r="V643">
        <f t="shared" ref="V643:V706" si="62">T643-U643</f>
        <v>179.2</v>
      </c>
      <c r="W643">
        <f t="shared" ref="W643:W706" si="63">R643-Q643</f>
        <v>3</v>
      </c>
      <c r="X643">
        <f t="shared" ref="X643:X706" si="64">V643-(E643*D643)</f>
        <v>0</v>
      </c>
      <c r="Y643">
        <f t="shared" ref="Y643:Y706" si="65">IF(M643 = "Yes", -V643,0)</f>
        <v>0</v>
      </c>
    </row>
    <row r="644" spans="1:25" x14ac:dyDescent="0.35">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c r="T644">
        <f t="shared" si="60"/>
        <v>1175.76</v>
      </c>
      <c r="U644">
        <f t="shared" si="61"/>
        <v>176.364</v>
      </c>
      <c r="V644">
        <f t="shared" si="62"/>
        <v>999.39599999999996</v>
      </c>
      <c r="W644">
        <f t="shared" si="63"/>
        <v>10</v>
      </c>
      <c r="X644">
        <f t="shared" si="64"/>
        <v>-176.36400000000003</v>
      </c>
      <c r="Y644">
        <f t="shared" si="65"/>
        <v>0</v>
      </c>
    </row>
    <row r="645" spans="1:25" x14ac:dyDescent="0.35">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c r="T645">
        <f t="shared" si="60"/>
        <v>4189.3</v>
      </c>
      <c r="U645">
        <f t="shared" si="61"/>
        <v>418.93000000000006</v>
      </c>
      <c r="V645">
        <f t="shared" si="62"/>
        <v>3770.37</v>
      </c>
      <c r="W645">
        <f t="shared" si="63"/>
        <v>5</v>
      </c>
      <c r="X645">
        <f t="shared" si="64"/>
        <v>-418.93000000000029</v>
      </c>
      <c r="Y645">
        <f t="shared" si="65"/>
        <v>0</v>
      </c>
    </row>
    <row r="646" spans="1:25" x14ac:dyDescent="0.35">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c r="T646">
        <f t="shared" si="60"/>
        <v>3637.08</v>
      </c>
      <c r="U646">
        <f t="shared" si="61"/>
        <v>0</v>
      </c>
      <c r="V646">
        <f t="shared" si="62"/>
        <v>3637.08</v>
      </c>
      <c r="W646">
        <f t="shared" si="63"/>
        <v>7</v>
      </c>
      <c r="X646">
        <f t="shared" si="64"/>
        <v>0</v>
      </c>
      <c r="Y646">
        <f t="shared" si="65"/>
        <v>0</v>
      </c>
    </row>
    <row r="647" spans="1:25" x14ac:dyDescent="0.35">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c r="T647">
        <f t="shared" si="60"/>
        <v>2099.5</v>
      </c>
      <c r="U647">
        <f t="shared" si="61"/>
        <v>209.95000000000002</v>
      </c>
      <c r="V647">
        <f t="shared" si="62"/>
        <v>1889.55</v>
      </c>
      <c r="W647">
        <f t="shared" si="63"/>
        <v>4</v>
      </c>
      <c r="X647">
        <f t="shared" si="64"/>
        <v>-209.95000000000005</v>
      </c>
      <c r="Y647">
        <f t="shared" si="65"/>
        <v>0</v>
      </c>
    </row>
    <row r="648" spans="1:25" x14ac:dyDescent="0.35">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c r="T648">
        <f t="shared" si="60"/>
        <v>2269.04</v>
      </c>
      <c r="U648">
        <f t="shared" si="61"/>
        <v>226.904</v>
      </c>
      <c r="V648">
        <f t="shared" si="62"/>
        <v>2042.136</v>
      </c>
      <c r="W648">
        <f t="shared" si="63"/>
        <v>3</v>
      </c>
      <c r="X648">
        <f t="shared" si="64"/>
        <v>-226.904</v>
      </c>
      <c r="Y648">
        <f t="shared" si="65"/>
        <v>0</v>
      </c>
    </row>
    <row r="649" spans="1:25" x14ac:dyDescent="0.35">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c r="T649">
        <f t="shared" si="60"/>
        <v>128.51999999999998</v>
      </c>
      <c r="U649">
        <f t="shared" si="61"/>
        <v>12.851999999999999</v>
      </c>
      <c r="V649">
        <f t="shared" si="62"/>
        <v>115.66799999999998</v>
      </c>
      <c r="W649">
        <f t="shared" si="63"/>
        <v>5</v>
      </c>
      <c r="X649">
        <f t="shared" si="64"/>
        <v>-12.852000000000004</v>
      </c>
      <c r="Y649">
        <f t="shared" si="65"/>
        <v>0</v>
      </c>
    </row>
    <row r="650" spans="1:25" x14ac:dyDescent="0.35">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c r="T650">
        <f t="shared" si="60"/>
        <v>4278.42</v>
      </c>
      <c r="U650">
        <f t="shared" si="61"/>
        <v>427.84200000000004</v>
      </c>
      <c r="V650">
        <f t="shared" si="62"/>
        <v>3850.578</v>
      </c>
      <c r="W650">
        <f t="shared" si="63"/>
        <v>6</v>
      </c>
      <c r="X650">
        <f t="shared" si="64"/>
        <v>-427.8420000000001</v>
      </c>
      <c r="Y650">
        <f t="shared" si="65"/>
        <v>0</v>
      </c>
    </row>
    <row r="651" spans="1:25" x14ac:dyDescent="0.35">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c r="T651">
        <f t="shared" si="60"/>
        <v>7103.0399999999991</v>
      </c>
      <c r="U651">
        <f t="shared" si="61"/>
        <v>0</v>
      </c>
      <c r="V651">
        <f t="shared" si="62"/>
        <v>7103.0399999999991</v>
      </c>
      <c r="W651">
        <f t="shared" si="63"/>
        <v>10</v>
      </c>
      <c r="X651">
        <f t="shared" si="64"/>
        <v>0</v>
      </c>
      <c r="Y651">
        <f t="shared" si="65"/>
        <v>0</v>
      </c>
    </row>
    <row r="652" spans="1:25" x14ac:dyDescent="0.35">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c r="T652">
        <f t="shared" si="60"/>
        <v>652.61</v>
      </c>
      <c r="U652">
        <f t="shared" si="61"/>
        <v>32.630500000000005</v>
      </c>
      <c r="V652">
        <f t="shared" si="62"/>
        <v>619.97950000000003</v>
      </c>
      <c r="W652">
        <f t="shared" si="63"/>
        <v>3</v>
      </c>
      <c r="X652">
        <f t="shared" si="64"/>
        <v>-32.630499999999984</v>
      </c>
      <c r="Y652">
        <f t="shared" si="65"/>
        <v>0</v>
      </c>
    </row>
    <row r="653" spans="1:25" x14ac:dyDescent="0.35">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c r="T653">
        <f t="shared" si="60"/>
        <v>4480.6499999999996</v>
      </c>
      <c r="U653">
        <f t="shared" si="61"/>
        <v>0</v>
      </c>
      <c r="V653">
        <f t="shared" si="62"/>
        <v>4480.6499999999996</v>
      </c>
      <c r="W653">
        <f t="shared" si="63"/>
        <v>7</v>
      </c>
      <c r="X653">
        <f t="shared" si="64"/>
        <v>0</v>
      </c>
      <c r="Y653">
        <f t="shared" si="65"/>
        <v>0</v>
      </c>
    </row>
    <row r="654" spans="1:25" x14ac:dyDescent="0.35">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c r="T654">
        <f t="shared" si="60"/>
        <v>785.55</v>
      </c>
      <c r="U654">
        <f t="shared" si="61"/>
        <v>117.83249999999998</v>
      </c>
      <c r="V654">
        <f t="shared" si="62"/>
        <v>667.71749999999997</v>
      </c>
      <c r="W654">
        <f t="shared" si="63"/>
        <v>3</v>
      </c>
      <c r="X654">
        <f t="shared" si="64"/>
        <v>-117.83249999999998</v>
      </c>
      <c r="Y654">
        <f t="shared" si="65"/>
        <v>0</v>
      </c>
    </row>
    <row r="655" spans="1:25" x14ac:dyDescent="0.35">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c r="T655">
        <f t="shared" si="60"/>
        <v>625.14</v>
      </c>
      <c r="U655">
        <f t="shared" si="61"/>
        <v>62.514000000000003</v>
      </c>
      <c r="V655">
        <f t="shared" si="62"/>
        <v>562.62599999999998</v>
      </c>
      <c r="W655">
        <f t="shared" si="63"/>
        <v>2</v>
      </c>
      <c r="X655">
        <f t="shared" si="64"/>
        <v>-62.51400000000001</v>
      </c>
      <c r="Y655">
        <f t="shared" si="65"/>
        <v>0</v>
      </c>
    </row>
    <row r="656" spans="1:25" x14ac:dyDescent="0.35">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c r="T656">
        <f t="shared" si="60"/>
        <v>3944.72</v>
      </c>
      <c r="U656">
        <f t="shared" si="61"/>
        <v>197.23599999999999</v>
      </c>
      <c r="V656">
        <f t="shared" si="62"/>
        <v>3747.4839999999999</v>
      </c>
      <c r="W656">
        <f t="shared" si="63"/>
        <v>9</v>
      </c>
      <c r="X656">
        <f t="shared" si="64"/>
        <v>-197.23599999999988</v>
      </c>
      <c r="Y656">
        <f t="shared" si="65"/>
        <v>0</v>
      </c>
    </row>
    <row r="657" spans="1:25" x14ac:dyDescent="0.35">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c r="T657">
        <f t="shared" si="60"/>
        <v>1749.48</v>
      </c>
      <c r="U657">
        <f t="shared" si="61"/>
        <v>0</v>
      </c>
      <c r="V657">
        <f t="shared" si="62"/>
        <v>1749.48</v>
      </c>
      <c r="W657">
        <f t="shared" si="63"/>
        <v>2</v>
      </c>
      <c r="X657">
        <f t="shared" si="64"/>
        <v>0</v>
      </c>
      <c r="Y657">
        <f t="shared" si="65"/>
        <v>0</v>
      </c>
    </row>
    <row r="658" spans="1:25" x14ac:dyDescent="0.35">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c r="T658">
        <f t="shared" si="60"/>
        <v>103.13</v>
      </c>
      <c r="U658">
        <f t="shared" si="61"/>
        <v>0</v>
      </c>
      <c r="V658">
        <f t="shared" si="62"/>
        <v>103.13</v>
      </c>
      <c r="W658">
        <f t="shared" si="63"/>
        <v>10</v>
      </c>
      <c r="X658">
        <f t="shared" si="64"/>
        <v>0</v>
      </c>
      <c r="Y658">
        <f t="shared" si="65"/>
        <v>0</v>
      </c>
    </row>
    <row r="659" spans="1:25" x14ac:dyDescent="0.35">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c r="T659">
        <f t="shared" si="60"/>
        <v>541.9</v>
      </c>
      <c r="U659">
        <f t="shared" si="61"/>
        <v>27.094999999999999</v>
      </c>
      <c r="V659">
        <f t="shared" si="62"/>
        <v>514.80499999999995</v>
      </c>
      <c r="W659">
        <f t="shared" si="63"/>
        <v>10</v>
      </c>
      <c r="X659">
        <f t="shared" si="64"/>
        <v>-27.095000000000027</v>
      </c>
      <c r="Y659">
        <f t="shared" si="65"/>
        <v>0</v>
      </c>
    </row>
    <row r="660" spans="1:25" x14ac:dyDescent="0.35">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c r="T660">
        <f t="shared" si="60"/>
        <v>3333.99</v>
      </c>
      <c r="U660">
        <f t="shared" si="61"/>
        <v>333.399</v>
      </c>
      <c r="V660">
        <f t="shared" si="62"/>
        <v>3000.5909999999999</v>
      </c>
      <c r="W660">
        <f t="shared" si="63"/>
        <v>4</v>
      </c>
      <c r="X660">
        <f t="shared" si="64"/>
        <v>-333.39899999999989</v>
      </c>
      <c r="Y660">
        <f t="shared" si="65"/>
        <v>0</v>
      </c>
    </row>
    <row r="661" spans="1:25" x14ac:dyDescent="0.35">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c r="T661">
        <f t="shared" si="60"/>
        <v>679.91000000000008</v>
      </c>
      <c r="U661">
        <f t="shared" si="61"/>
        <v>33.995500000000007</v>
      </c>
      <c r="V661">
        <f t="shared" si="62"/>
        <v>645.91450000000009</v>
      </c>
      <c r="W661">
        <f t="shared" si="63"/>
        <v>10</v>
      </c>
      <c r="X661">
        <f t="shared" si="64"/>
        <v>-33.995499999999993</v>
      </c>
      <c r="Y661">
        <f t="shared" si="65"/>
        <v>0</v>
      </c>
    </row>
    <row r="662" spans="1:25" x14ac:dyDescent="0.35">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c r="T662">
        <f t="shared" si="60"/>
        <v>2841.2</v>
      </c>
      <c r="U662">
        <f t="shared" si="61"/>
        <v>284.12</v>
      </c>
      <c r="V662">
        <f t="shared" si="62"/>
        <v>2557.08</v>
      </c>
      <c r="W662">
        <f t="shared" si="63"/>
        <v>8</v>
      </c>
      <c r="X662">
        <f t="shared" si="64"/>
        <v>-284.11999999999989</v>
      </c>
      <c r="Y662">
        <f t="shared" si="65"/>
        <v>0</v>
      </c>
    </row>
    <row r="663" spans="1:25" x14ac:dyDescent="0.35">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c r="T663">
        <f t="shared" si="60"/>
        <v>1318.24</v>
      </c>
      <c r="U663">
        <f t="shared" si="61"/>
        <v>131.82400000000001</v>
      </c>
      <c r="V663">
        <f t="shared" si="62"/>
        <v>1186.4159999999999</v>
      </c>
      <c r="W663">
        <f t="shared" si="63"/>
        <v>8</v>
      </c>
      <c r="X663">
        <f t="shared" si="64"/>
        <v>-131.82400000000007</v>
      </c>
      <c r="Y663">
        <f t="shared" si="65"/>
        <v>0</v>
      </c>
    </row>
    <row r="664" spans="1:25" x14ac:dyDescent="0.35">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c r="T664">
        <f t="shared" si="60"/>
        <v>5093.12</v>
      </c>
      <c r="U664">
        <f t="shared" si="61"/>
        <v>254.65600000000001</v>
      </c>
      <c r="V664">
        <f t="shared" si="62"/>
        <v>4838.4639999999999</v>
      </c>
      <c r="W664">
        <f t="shared" si="63"/>
        <v>5</v>
      </c>
      <c r="X664">
        <f t="shared" si="64"/>
        <v>-254.65599999999995</v>
      </c>
      <c r="Y664">
        <f t="shared" si="65"/>
        <v>0</v>
      </c>
    </row>
    <row r="665" spans="1:25" x14ac:dyDescent="0.35">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c r="T665">
        <f t="shared" si="60"/>
        <v>4018.41</v>
      </c>
      <c r="U665">
        <f t="shared" si="61"/>
        <v>602.76149999999996</v>
      </c>
      <c r="V665">
        <f t="shared" si="62"/>
        <v>3415.6484999999998</v>
      </c>
      <c r="W665">
        <f t="shared" si="63"/>
        <v>9</v>
      </c>
      <c r="X665">
        <f t="shared" si="64"/>
        <v>-602.76150000000007</v>
      </c>
      <c r="Y665">
        <f t="shared" si="65"/>
        <v>0</v>
      </c>
    </row>
    <row r="666" spans="1:25" x14ac:dyDescent="0.35">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c r="T666">
        <f t="shared" si="60"/>
        <v>4141.12</v>
      </c>
      <c r="U666">
        <f t="shared" si="61"/>
        <v>414.11200000000002</v>
      </c>
      <c r="V666">
        <f t="shared" si="62"/>
        <v>3727.0079999999998</v>
      </c>
      <c r="W666">
        <f t="shared" si="63"/>
        <v>8</v>
      </c>
      <c r="X666">
        <f t="shared" si="64"/>
        <v>-414.11200000000008</v>
      </c>
      <c r="Y666">
        <f t="shared" si="65"/>
        <v>0</v>
      </c>
    </row>
    <row r="667" spans="1:25" x14ac:dyDescent="0.35">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c r="T667">
        <f t="shared" si="60"/>
        <v>2454.12</v>
      </c>
      <c r="U667">
        <f t="shared" si="61"/>
        <v>122.706</v>
      </c>
      <c r="V667">
        <f t="shared" si="62"/>
        <v>2331.4139999999998</v>
      </c>
      <c r="W667">
        <f t="shared" si="63"/>
        <v>8</v>
      </c>
      <c r="X667">
        <f t="shared" si="64"/>
        <v>-122.70600000000013</v>
      </c>
      <c r="Y667">
        <f t="shared" si="65"/>
        <v>0</v>
      </c>
    </row>
    <row r="668" spans="1:25" x14ac:dyDescent="0.35">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c r="T668">
        <f t="shared" si="60"/>
        <v>5265.24</v>
      </c>
      <c r="U668">
        <f t="shared" si="61"/>
        <v>0</v>
      </c>
      <c r="V668">
        <f t="shared" si="62"/>
        <v>5265.24</v>
      </c>
      <c r="W668">
        <f t="shared" si="63"/>
        <v>9</v>
      </c>
      <c r="X668">
        <f t="shared" si="64"/>
        <v>0</v>
      </c>
      <c r="Y668">
        <f t="shared" si="65"/>
        <v>0</v>
      </c>
    </row>
    <row r="669" spans="1:25" x14ac:dyDescent="0.35">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c r="T669">
        <f t="shared" si="60"/>
        <v>4817.34</v>
      </c>
      <c r="U669">
        <f t="shared" si="61"/>
        <v>0</v>
      </c>
      <c r="V669">
        <f t="shared" si="62"/>
        <v>4817.34</v>
      </c>
      <c r="W669">
        <f t="shared" si="63"/>
        <v>3</v>
      </c>
      <c r="X669">
        <f t="shared" si="64"/>
        <v>0</v>
      </c>
      <c r="Y669">
        <f t="shared" si="65"/>
        <v>0</v>
      </c>
    </row>
    <row r="670" spans="1:25" x14ac:dyDescent="0.35">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c r="T670">
        <f t="shared" si="60"/>
        <v>695.64</v>
      </c>
      <c r="U670">
        <f t="shared" si="61"/>
        <v>34.782000000000004</v>
      </c>
      <c r="V670">
        <f t="shared" si="62"/>
        <v>660.85799999999995</v>
      </c>
      <c r="W670">
        <f t="shared" si="63"/>
        <v>2</v>
      </c>
      <c r="X670">
        <f t="shared" si="64"/>
        <v>-34.782000000000039</v>
      </c>
      <c r="Y670">
        <f t="shared" si="65"/>
        <v>0</v>
      </c>
    </row>
    <row r="671" spans="1:25" x14ac:dyDescent="0.35">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c r="T671">
        <f t="shared" si="60"/>
        <v>5239.82</v>
      </c>
      <c r="U671">
        <f t="shared" si="61"/>
        <v>0</v>
      </c>
      <c r="V671">
        <f t="shared" si="62"/>
        <v>5239.82</v>
      </c>
      <c r="W671">
        <f t="shared" si="63"/>
        <v>2</v>
      </c>
      <c r="X671">
        <f t="shared" si="64"/>
        <v>0</v>
      </c>
      <c r="Y671">
        <f t="shared" si="65"/>
        <v>0</v>
      </c>
    </row>
    <row r="672" spans="1:25" x14ac:dyDescent="0.35">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c r="T672">
        <f t="shared" si="60"/>
        <v>3071.16</v>
      </c>
      <c r="U672">
        <f t="shared" si="61"/>
        <v>0</v>
      </c>
      <c r="V672">
        <f t="shared" si="62"/>
        <v>3071.16</v>
      </c>
      <c r="W672">
        <f t="shared" si="63"/>
        <v>10</v>
      </c>
      <c r="X672">
        <f t="shared" si="64"/>
        <v>0</v>
      </c>
      <c r="Y672">
        <f t="shared" si="65"/>
        <v>0</v>
      </c>
    </row>
    <row r="673" spans="1:25" x14ac:dyDescent="0.35">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c r="T673">
        <f t="shared" si="60"/>
        <v>381.21</v>
      </c>
      <c r="U673">
        <f t="shared" si="61"/>
        <v>57.181499999999993</v>
      </c>
      <c r="V673">
        <f t="shared" si="62"/>
        <v>324.02850000000001</v>
      </c>
      <c r="W673">
        <f t="shared" si="63"/>
        <v>5</v>
      </c>
      <c r="X673">
        <f t="shared" si="64"/>
        <v>-57.181499999999971</v>
      </c>
      <c r="Y673">
        <f t="shared" si="65"/>
        <v>0</v>
      </c>
    </row>
    <row r="674" spans="1:25" x14ac:dyDescent="0.35">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c r="T674">
        <f t="shared" si="60"/>
        <v>191.14999999999998</v>
      </c>
      <c r="U674">
        <f t="shared" si="61"/>
        <v>28.672499999999996</v>
      </c>
      <c r="V674">
        <f t="shared" si="62"/>
        <v>162.47749999999999</v>
      </c>
      <c r="W674">
        <f t="shared" si="63"/>
        <v>10</v>
      </c>
      <c r="X674">
        <f t="shared" si="64"/>
        <v>-28.672499999999985</v>
      </c>
      <c r="Y674">
        <f t="shared" si="65"/>
        <v>0</v>
      </c>
    </row>
    <row r="675" spans="1:25" x14ac:dyDescent="0.35">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c r="T675">
        <f t="shared" si="60"/>
        <v>1581.02</v>
      </c>
      <c r="U675">
        <f t="shared" si="61"/>
        <v>0</v>
      </c>
      <c r="V675">
        <f t="shared" si="62"/>
        <v>1581.02</v>
      </c>
      <c r="W675">
        <f t="shared" si="63"/>
        <v>5</v>
      </c>
      <c r="X675">
        <f t="shared" si="64"/>
        <v>0</v>
      </c>
      <c r="Y675">
        <f t="shared" si="65"/>
        <v>0</v>
      </c>
    </row>
    <row r="676" spans="1:25" x14ac:dyDescent="0.35">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c r="T676">
        <f t="shared" si="60"/>
        <v>4384.16</v>
      </c>
      <c r="U676">
        <f t="shared" si="61"/>
        <v>219.208</v>
      </c>
      <c r="V676">
        <f t="shared" si="62"/>
        <v>4164.9520000000002</v>
      </c>
      <c r="W676">
        <f t="shared" si="63"/>
        <v>7</v>
      </c>
      <c r="X676">
        <f t="shared" si="64"/>
        <v>-219.20799999999963</v>
      </c>
      <c r="Y676">
        <f t="shared" si="65"/>
        <v>0</v>
      </c>
    </row>
    <row r="677" spans="1:25" x14ac:dyDescent="0.35">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c r="T677">
        <f t="shared" si="60"/>
        <v>8735.4</v>
      </c>
      <c r="U677">
        <f t="shared" si="61"/>
        <v>436.77</v>
      </c>
      <c r="V677">
        <f t="shared" si="62"/>
        <v>8298.6299999999992</v>
      </c>
      <c r="W677">
        <f t="shared" si="63"/>
        <v>5</v>
      </c>
      <c r="X677">
        <f t="shared" si="64"/>
        <v>-436.77000000000044</v>
      </c>
      <c r="Y677">
        <f t="shared" si="65"/>
        <v>0</v>
      </c>
    </row>
    <row r="678" spans="1:25" x14ac:dyDescent="0.35">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c r="T678">
        <f t="shared" si="60"/>
        <v>7871.89</v>
      </c>
      <c r="U678">
        <f t="shared" si="61"/>
        <v>787.18900000000008</v>
      </c>
      <c r="V678">
        <f t="shared" si="62"/>
        <v>7084.701</v>
      </c>
      <c r="W678">
        <f t="shared" si="63"/>
        <v>4</v>
      </c>
      <c r="X678">
        <f t="shared" si="64"/>
        <v>-787.18900000000031</v>
      </c>
      <c r="Y678">
        <f t="shared" si="65"/>
        <v>0</v>
      </c>
    </row>
    <row r="679" spans="1:25" x14ac:dyDescent="0.35">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c r="T679">
        <f t="shared" si="60"/>
        <v>405.76</v>
      </c>
      <c r="U679">
        <f t="shared" si="61"/>
        <v>20.288</v>
      </c>
      <c r="V679">
        <f t="shared" si="62"/>
        <v>385.47199999999998</v>
      </c>
      <c r="W679">
        <f t="shared" si="63"/>
        <v>7</v>
      </c>
      <c r="X679">
        <f t="shared" si="64"/>
        <v>-20.288000000000011</v>
      </c>
      <c r="Y679">
        <f t="shared" si="65"/>
        <v>0</v>
      </c>
    </row>
    <row r="680" spans="1:25" x14ac:dyDescent="0.35">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c r="T680">
        <f t="shared" si="60"/>
        <v>1415.42</v>
      </c>
      <c r="U680">
        <f t="shared" si="61"/>
        <v>212.31300000000002</v>
      </c>
      <c r="V680">
        <f t="shared" si="62"/>
        <v>1203.107</v>
      </c>
      <c r="W680">
        <f t="shared" si="63"/>
        <v>6</v>
      </c>
      <c r="X680">
        <f t="shared" si="64"/>
        <v>-212.3130000000001</v>
      </c>
      <c r="Y680">
        <f t="shared" si="65"/>
        <v>0</v>
      </c>
    </row>
    <row r="681" spans="1:25" x14ac:dyDescent="0.35">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c r="T681">
        <f t="shared" si="60"/>
        <v>1037</v>
      </c>
      <c r="U681">
        <f t="shared" si="61"/>
        <v>155.54999999999998</v>
      </c>
      <c r="V681">
        <f t="shared" si="62"/>
        <v>881.45</v>
      </c>
      <c r="W681">
        <f t="shared" si="63"/>
        <v>2</v>
      </c>
      <c r="X681">
        <f t="shared" si="64"/>
        <v>-155.54999999999995</v>
      </c>
      <c r="Y681">
        <f t="shared" si="65"/>
        <v>0</v>
      </c>
    </row>
    <row r="682" spans="1:25" x14ac:dyDescent="0.35">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c r="T682">
        <f t="shared" si="60"/>
        <v>1470.1200000000001</v>
      </c>
      <c r="U682">
        <f t="shared" si="61"/>
        <v>73.506000000000014</v>
      </c>
      <c r="V682">
        <f t="shared" si="62"/>
        <v>1396.614</v>
      </c>
      <c r="W682">
        <f t="shared" si="63"/>
        <v>2</v>
      </c>
      <c r="X682">
        <f t="shared" si="64"/>
        <v>-73.506000000000085</v>
      </c>
      <c r="Y682">
        <f t="shared" si="65"/>
        <v>0</v>
      </c>
    </row>
    <row r="683" spans="1:25" x14ac:dyDescent="0.35">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c r="T683">
        <f t="shared" si="60"/>
        <v>2443.4299999999998</v>
      </c>
      <c r="U683">
        <f t="shared" si="61"/>
        <v>366.51449999999994</v>
      </c>
      <c r="V683">
        <f t="shared" si="62"/>
        <v>2076.9155000000001</v>
      </c>
      <c r="W683">
        <f t="shared" si="63"/>
        <v>2</v>
      </c>
      <c r="X683">
        <f t="shared" si="64"/>
        <v>-366.51449999999977</v>
      </c>
      <c r="Y683">
        <f t="shared" si="65"/>
        <v>0</v>
      </c>
    </row>
    <row r="684" spans="1:25" x14ac:dyDescent="0.35">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c r="T684">
        <f t="shared" si="60"/>
        <v>1638.72</v>
      </c>
      <c r="U684">
        <f t="shared" si="61"/>
        <v>0</v>
      </c>
      <c r="V684">
        <f t="shared" si="62"/>
        <v>1638.72</v>
      </c>
      <c r="W684">
        <f t="shared" si="63"/>
        <v>5</v>
      </c>
      <c r="X684">
        <f t="shared" si="64"/>
        <v>0</v>
      </c>
      <c r="Y684">
        <f t="shared" si="65"/>
        <v>0</v>
      </c>
    </row>
    <row r="685" spans="1:25" x14ac:dyDescent="0.35">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c r="T685">
        <f t="shared" si="60"/>
        <v>1610.91</v>
      </c>
      <c r="U685">
        <f t="shared" si="61"/>
        <v>0</v>
      </c>
      <c r="V685">
        <f t="shared" si="62"/>
        <v>1610.91</v>
      </c>
      <c r="W685">
        <f t="shared" si="63"/>
        <v>9</v>
      </c>
      <c r="X685">
        <f t="shared" si="64"/>
        <v>0</v>
      </c>
      <c r="Y685">
        <f t="shared" si="65"/>
        <v>0</v>
      </c>
    </row>
    <row r="686" spans="1:25" x14ac:dyDescent="0.35">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c r="T686">
        <f t="shared" si="60"/>
        <v>8295.15</v>
      </c>
      <c r="U686">
        <f t="shared" si="61"/>
        <v>829.51499999999999</v>
      </c>
      <c r="V686">
        <f t="shared" si="62"/>
        <v>7465.6349999999993</v>
      </c>
      <c r="W686">
        <f t="shared" si="63"/>
        <v>8</v>
      </c>
      <c r="X686">
        <f t="shared" si="64"/>
        <v>-829.51500000000033</v>
      </c>
      <c r="Y686">
        <f t="shared" si="65"/>
        <v>0</v>
      </c>
    </row>
    <row r="687" spans="1:25" x14ac:dyDescent="0.35">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c r="T687">
        <f t="shared" si="60"/>
        <v>5696.4</v>
      </c>
      <c r="U687">
        <f t="shared" si="61"/>
        <v>569.64</v>
      </c>
      <c r="V687">
        <f t="shared" si="62"/>
        <v>5126.7599999999993</v>
      </c>
      <c r="W687">
        <f t="shared" si="63"/>
        <v>6</v>
      </c>
      <c r="X687">
        <f t="shared" si="64"/>
        <v>-569.64000000000033</v>
      </c>
      <c r="Y687">
        <f t="shared" si="65"/>
        <v>0</v>
      </c>
    </row>
    <row r="688" spans="1:25" x14ac:dyDescent="0.35">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c r="T688">
        <f t="shared" si="60"/>
        <v>9429.66</v>
      </c>
      <c r="U688">
        <f t="shared" si="61"/>
        <v>1414.4489999999998</v>
      </c>
      <c r="V688">
        <f t="shared" si="62"/>
        <v>8015.2110000000002</v>
      </c>
      <c r="W688">
        <f t="shared" si="63"/>
        <v>4</v>
      </c>
      <c r="X688">
        <f t="shared" si="64"/>
        <v>-1414.4489999999996</v>
      </c>
      <c r="Y688">
        <f t="shared" si="65"/>
        <v>0</v>
      </c>
    </row>
    <row r="689" spans="1:25" x14ac:dyDescent="0.35">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c r="T689">
        <f t="shared" si="60"/>
        <v>696.39</v>
      </c>
      <c r="U689">
        <f t="shared" si="61"/>
        <v>69.638999999999996</v>
      </c>
      <c r="V689">
        <f t="shared" si="62"/>
        <v>626.75099999999998</v>
      </c>
      <c r="W689">
        <f t="shared" si="63"/>
        <v>5</v>
      </c>
      <c r="X689">
        <f t="shared" si="64"/>
        <v>-69.63900000000001</v>
      </c>
      <c r="Y689">
        <f t="shared" si="65"/>
        <v>0</v>
      </c>
    </row>
    <row r="690" spans="1:25" x14ac:dyDescent="0.35">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c r="T690">
        <f t="shared" si="60"/>
        <v>3048.44</v>
      </c>
      <c r="U690">
        <f t="shared" si="61"/>
        <v>304.84399999999999</v>
      </c>
      <c r="V690">
        <f t="shared" si="62"/>
        <v>2743.596</v>
      </c>
      <c r="W690">
        <f t="shared" si="63"/>
        <v>7</v>
      </c>
      <c r="X690">
        <f t="shared" si="64"/>
        <v>-304.84400000000005</v>
      </c>
      <c r="Y690">
        <f t="shared" si="65"/>
        <v>0</v>
      </c>
    </row>
    <row r="691" spans="1:25" x14ac:dyDescent="0.35">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c r="T691">
        <f t="shared" si="60"/>
        <v>396.35</v>
      </c>
      <c r="U691">
        <f t="shared" si="61"/>
        <v>59.452500000000001</v>
      </c>
      <c r="V691">
        <f t="shared" si="62"/>
        <v>336.89750000000004</v>
      </c>
      <c r="W691">
        <f t="shared" si="63"/>
        <v>8</v>
      </c>
      <c r="X691">
        <f t="shared" si="64"/>
        <v>-59.452499999999986</v>
      </c>
      <c r="Y691">
        <f t="shared" si="65"/>
        <v>0</v>
      </c>
    </row>
    <row r="692" spans="1:25" x14ac:dyDescent="0.35">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c r="T692">
        <f t="shared" si="60"/>
        <v>1844.16</v>
      </c>
      <c r="U692">
        <f t="shared" si="61"/>
        <v>184.41600000000003</v>
      </c>
      <c r="V692">
        <f t="shared" si="62"/>
        <v>1659.7440000000001</v>
      </c>
      <c r="W692">
        <f t="shared" si="63"/>
        <v>9</v>
      </c>
      <c r="X692">
        <f t="shared" si="64"/>
        <v>-184.41599999999994</v>
      </c>
      <c r="Y692">
        <f t="shared" si="65"/>
        <v>0</v>
      </c>
    </row>
    <row r="693" spans="1:25" x14ac:dyDescent="0.35">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c r="T693">
        <f t="shared" si="60"/>
        <v>1496.6999999999998</v>
      </c>
      <c r="U693">
        <f t="shared" si="61"/>
        <v>149.66999999999999</v>
      </c>
      <c r="V693">
        <f t="shared" si="62"/>
        <v>1347.0299999999997</v>
      </c>
      <c r="W693">
        <f t="shared" si="63"/>
        <v>7</v>
      </c>
      <c r="X693">
        <f t="shared" si="64"/>
        <v>-149.67000000000007</v>
      </c>
      <c r="Y693">
        <f t="shared" si="65"/>
        <v>0</v>
      </c>
    </row>
    <row r="694" spans="1:25" x14ac:dyDescent="0.35">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c r="T694">
        <f t="shared" si="60"/>
        <v>506.41</v>
      </c>
      <c r="U694">
        <f t="shared" si="61"/>
        <v>0</v>
      </c>
      <c r="V694">
        <f t="shared" si="62"/>
        <v>506.41</v>
      </c>
      <c r="W694">
        <f t="shared" si="63"/>
        <v>8</v>
      </c>
      <c r="X694">
        <f t="shared" si="64"/>
        <v>0</v>
      </c>
      <c r="Y694">
        <f t="shared" si="65"/>
        <v>0</v>
      </c>
    </row>
    <row r="695" spans="1:25" x14ac:dyDescent="0.35">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c r="T695">
        <f t="shared" si="60"/>
        <v>2075.3999999999996</v>
      </c>
      <c r="U695">
        <f t="shared" si="61"/>
        <v>311.30999999999995</v>
      </c>
      <c r="V695">
        <f t="shared" si="62"/>
        <v>1764.0899999999997</v>
      </c>
      <c r="W695">
        <f t="shared" si="63"/>
        <v>10</v>
      </c>
      <c r="X695">
        <f t="shared" si="64"/>
        <v>-311.30999999999995</v>
      </c>
      <c r="Y695">
        <f t="shared" si="65"/>
        <v>0</v>
      </c>
    </row>
    <row r="696" spans="1:25" x14ac:dyDescent="0.35">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c r="T696">
        <f t="shared" si="60"/>
        <v>5130.6000000000004</v>
      </c>
      <c r="U696">
        <f t="shared" si="61"/>
        <v>769.59</v>
      </c>
      <c r="V696">
        <f t="shared" si="62"/>
        <v>4361.01</v>
      </c>
      <c r="W696">
        <f t="shared" si="63"/>
        <v>5</v>
      </c>
      <c r="X696">
        <f t="shared" si="64"/>
        <v>-769.59000000000015</v>
      </c>
      <c r="Y696">
        <f t="shared" si="65"/>
        <v>0</v>
      </c>
    </row>
    <row r="697" spans="1:25" x14ac:dyDescent="0.35">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c r="T697">
        <f t="shared" si="60"/>
        <v>4453.68</v>
      </c>
      <c r="U697">
        <f t="shared" si="61"/>
        <v>222.68400000000003</v>
      </c>
      <c r="V697">
        <f t="shared" si="62"/>
        <v>4230.9960000000001</v>
      </c>
      <c r="W697">
        <f t="shared" si="63"/>
        <v>7</v>
      </c>
      <c r="X697">
        <f t="shared" si="64"/>
        <v>-222.6840000000002</v>
      </c>
      <c r="Y697">
        <f t="shared" si="65"/>
        <v>0</v>
      </c>
    </row>
    <row r="698" spans="1:25" x14ac:dyDescent="0.35">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c r="T698">
        <f t="shared" si="60"/>
        <v>2632.14</v>
      </c>
      <c r="U698">
        <f t="shared" si="61"/>
        <v>131.607</v>
      </c>
      <c r="V698">
        <f t="shared" si="62"/>
        <v>2500.5329999999999</v>
      </c>
      <c r="W698">
        <f t="shared" si="63"/>
        <v>9</v>
      </c>
      <c r="X698">
        <f t="shared" si="64"/>
        <v>-131.60699999999997</v>
      </c>
      <c r="Y698">
        <f t="shared" si="65"/>
        <v>0</v>
      </c>
    </row>
    <row r="699" spans="1:25" x14ac:dyDescent="0.35">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c r="T699">
        <f t="shared" si="60"/>
        <v>2737.6499999999996</v>
      </c>
      <c r="U699">
        <f t="shared" si="61"/>
        <v>273.76499999999999</v>
      </c>
      <c r="V699">
        <f t="shared" si="62"/>
        <v>2463.8849999999998</v>
      </c>
      <c r="W699">
        <f t="shared" si="63"/>
        <v>4</v>
      </c>
      <c r="X699">
        <f t="shared" si="64"/>
        <v>-273.76499999999987</v>
      </c>
      <c r="Y699">
        <f t="shared" si="65"/>
        <v>0</v>
      </c>
    </row>
    <row r="700" spans="1:25" x14ac:dyDescent="0.35">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c r="T700">
        <f t="shared" si="60"/>
        <v>4186.5599999999995</v>
      </c>
      <c r="U700">
        <f t="shared" si="61"/>
        <v>0</v>
      </c>
      <c r="V700">
        <f t="shared" si="62"/>
        <v>4186.5599999999995</v>
      </c>
      <c r="W700">
        <f t="shared" si="63"/>
        <v>5</v>
      </c>
      <c r="X700">
        <f t="shared" si="64"/>
        <v>0</v>
      </c>
      <c r="Y700">
        <f t="shared" si="65"/>
        <v>0</v>
      </c>
    </row>
    <row r="701" spans="1:25" x14ac:dyDescent="0.35">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c r="T701">
        <f t="shared" si="60"/>
        <v>7290.45</v>
      </c>
      <c r="U701">
        <f t="shared" si="61"/>
        <v>0</v>
      </c>
      <c r="V701">
        <f t="shared" si="62"/>
        <v>7290.45</v>
      </c>
      <c r="W701">
        <f t="shared" si="63"/>
        <v>3</v>
      </c>
      <c r="X701">
        <f t="shared" si="64"/>
        <v>0</v>
      </c>
      <c r="Y701">
        <f t="shared" si="65"/>
        <v>0</v>
      </c>
    </row>
    <row r="702" spans="1:25" x14ac:dyDescent="0.35">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c r="T702">
        <f t="shared" si="60"/>
        <v>2227.2600000000002</v>
      </c>
      <c r="U702">
        <f t="shared" si="61"/>
        <v>334.089</v>
      </c>
      <c r="V702">
        <f t="shared" si="62"/>
        <v>1893.1710000000003</v>
      </c>
      <c r="W702">
        <f t="shared" si="63"/>
        <v>3</v>
      </c>
      <c r="X702">
        <f t="shared" si="64"/>
        <v>-334.08899999999994</v>
      </c>
      <c r="Y702">
        <f t="shared" si="65"/>
        <v>0</v>
      </c>
    </row>
    <row r="703" spans="1:25" x14ac:dyDescent="0.35">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c r="T703">
        <f t="shared" si="60"/>
        <v>2085.48</v>
      </c>
      <c r="U703">
        <f t="shared" si="61"/>
        <v>312.822</v>
      </c>
      <c r="V703">
        <f t="shared" si="62"/>
        <v>1772.6579999999999</v>
      </c>
      <c r="W703">
        <f t="shared" si="63"/>
        <v>10</v>
      </c>
      <c r="X703">
        <f t="shared" si="64"/>
        <v>-312.82200000000012</v>
      </c>
      <c r="Y703">
        <f t="shared" si="65"/>
        <v>0</v>
      </c>
    </row>
    <row r="704" spans="1:25" x14ac:dyDescent="0.35">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c r="T704">
        <f t="shared" si="60"/>
        <v>5716.75</v>
      </c>
      <c r="U704">
        <f t="shared" si="61"/>
        <v>0</v>
      </c>
      <c r="V704">
        <f t="shared" si="62"/>
        <v>5716.75</v>
      </c>
      <c r="W704">
        <f t="shared" si="63"/>
        <v>9</v>
      </c>
      <c r="X704">
        <f t="shared" si="64"/>
        <v>0</v>
      </c>
      <c r="Y704">
        <f t="shared" si="65"/>
        <v>0</v>
      </c>
    </row>
    <row r="705" spans="1:25" x14ac:dyDescent="0.35">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c r="T705">
        <f t="shared" si="60"/>
        <v>2388.87</v>
      </c>
      <c r="U705">
        <f t="shared" si="61"/>
        <v>119.4435</v>
      </c>
      <c r="V705">
        <f t="shared" si="62"/>
        <v>2269.4265</v>
      </c>
      <c r="W705">
        <f t="shared" si="63"/>
        <v>3</v>
      </c>
      <c r="X705">
        <f t="shared" si="64"/>
        <v>-119.44349999999986</v>
      </c>
      <c r="Y705">
        <f t="shared" si="65"/>
        <v>0</v>
      </c>
    </row>
    <row r="706" spans="1:25" x14ac:dyDescent="0.35">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c r="T706">
        <f t="shared" si="60"/>
        <v>3483.3599999999997</v>
      </c>
      <c r="U706">
        <f t="shared" si="61"/>
        <v>348.33600000000001</v>
      </c>
      <c r="V706">
        <f t="shared" si="62"/>
        <v>3135.0239999999994</v>
      </c>
      <c r="W706">
        <f t="shared" si="63"/>
        <v>6</v>
      </c>
      <c r="X706">
        <f t="shared" si="64"/>
        <v>-348.33600000000024</v>
      </c>
      <c r="Y706">
        <f t="shared" si="65"/>
        <v>0</v>
      </c>
    </row>
    <row r="707" spans="1:25" x14ac:dyDescent="0.35">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c r="T707">
        <f t="shared" ref="T707:T770" si="66">D707*E707</f>
        <v>532.20000000000005</v>
      </c>
      <c r="U707">
        <f t="shared" ref="U707:U770" si="67">T707*H707</f>
        <v>0</v>
      </c>
      <c r="V707">
        <f t="shared" ref="V707:V770" si="68">T707-U707</f>
        <v>532.20000000000005</v>
      </c>
      <c r="W707">
        <f t="shared" ref="W707:W770" si="69">R707-Q707</f>
        <v>2</v>
      </c>
      <c r="X707">
        <f t="shared" ref="X707:X770" si="70">V707-(E707*D707)</f>
        <v>0</v>
      </c>
      <c r="Y707">
        <f t="shared" ref="Y707:Y770" si="71">IF(M707 = "Yes", -V707,0)</f>
        <v>0</v>
      </c>
    </row>
    <row r="708" spans="1:25" x14ac:dyDescent="0.35">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c r="T708">
        <f t="shared" si="66"/>
        <v>479.38</v>
      </c>
      <c r="U708">
        <f t="shared" si="67"/>
        <v>0</v>
      </c>
      <c r="V708">
        <f t="shared" si="68"/>
        <v>479.38</v>
      </c>
      <c r="W708">
        <f t="shared" si="69"/>
        <v>8</v>
      </c>
      <c r="X708">
        <f t="shared" si="70"/>
        <v>0</v>
      </c>
      <c r="Y708">
        <f t="shared" si="71"/>
        <v>0</v>
      </c>
    </row>
    <row r="709" spans="1:25" x14ac:dyDescent="0.35">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c r="T709">
        <f t="shared" si="66"/>
        <v>318.32</v>
      </c>
      <c r="U709">
        <f t="shared" si="67"/>
        <v>31.832000000000001</v>
      </c>
      <c r="V709">
        <f t="shared" si="68"/>
        <v>286.488</v>
      </c>
      <c r="W709">
        <f t="shared" si="69"/>
        <v>9</v>
      </c>
      <c r="X709">
        <f t="shared" si="70"/>
        <v>-31.831999999999994</v>
      </c>
      <c r="Y709">
        <f t="shared" si="71"/>
        <v>0</v>
      </c>
    </row>
    <row r="710" spans="1:25" x14ac:dyDescent="0.35">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c r="T710">
        <f t="shared" si="66"/>
        <v>3722.4</v>
      </c>
      <c r="U710">
        <f t="shared" si="67"/>
        <v>186.12</v>
      </c>
      <c r="V710">
        <f t="shared" si="68"/>
        <v>3536.28</v>
      </c>
      <c r="W710">
        <f t="shared" si="69"/>
        <v>3</v>
      </c>
      <c r="X710">
        <f t="shared" si="70"/>
        <v>-186.11999999999989</v>
      </c>
      <c r="Y710">
        <f t="shared" si="71"/>
        <v>0</v>
      </c>
    </row>
    <row r="711" spans="1:25" x14ac:dyDescent="0.35">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c r="T711">
        <f t="shared" si="66"/>
        <v>3164.58</v>
      </c>
      <c r="U711">
        <f t="shared" si="67"/>
        <v>0</v>
      </c>
      <c r="V711">
        <f t="shared" si="68"/>
        <v>3164.58</v>
      </c>
      <c r="W711">
        <f t="shared" si="69"/>
        <v>9</v>
      </c>
      <c r="X711">
        <f t="shared" si="70"/>
        <v>0</v>
      </c>
      <c r="Y711">
        <f t="shared" si="71"/>
        <v>0</v>
      </c>
    </row>
    <row r="712" spans="1:25" x14ac:dyDescent="0.35">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c r="T712">
        <f t="shared" si="66"/>
        <v>7663.04</v>
      </c>
      <c r="U712">
        <f t="shared" si="67"/>
        <v>1149.4559999999999</v>
      </c>
      <c r="V712">
        <f t="shared" si="68"/>
        <v>6513.5839999999998</v>
      </c>
      <c r="W712">
        <f t="shared" si="69"/>
        <v>3</v>
      </c>
      <c r="X712">
        <f t="shared" si="70"/>
        <v>-1149.4560000000001</v>
      </c>
      <c r="Y712">
        <f t="shared" si="71"/>
        <v>0</v>
      </c>
    </row>
    <row r="713" spans="1:25" x14ac:dyDescent="0.35">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c r="T713">
        <f t="shared" si="66"/>
        <v>7121.2</v>
      </c>
      <c r="U713">
        <f t="shared" si="67"/>
        <v>356.06</v>
      </c>
      <c r="V713">
        <f t="shared" si="68"/>
        <v>6765.1399999999994</v>
      </c>
      <c r="W713">
        <f t="shared" si="69"/>
        <v>6</v>
      </c>
      <c r="X713">
        <f t="shared" si="70"/>
        <v>-356.0600000000004</v>
      </c>
      <c r="Y713">
        <f t="shared" si="71"/>
        <v>0</v>
      </c>
    </row>
    <row r="714" spans="1:25" x14ac:dyDescent="0.35">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c r="T714">
        <f t="shared" si="66"/>
        <v>4569.66</v>
      </c>
      <c r="U714">
        <f t="shared" si="67"/>
        <v>685.44899999999996</v>
      </c>
      <c r="V714">
        <f t="shared" si="68"/>
        <v>3884.2109999999998</v>
      </c>
      <c r="W714">
        <f t="shared" si="69"/>
        <v>7</v>
      </c>
      <c r="X714">
        <f t="shared" si="70"/>
        <v>-685.44900000000007</v>
      </c>
      <c r="Y714">
        <f t="shared" si="71"/>
        <v>0</v>
      </c>
    </row>
    <row r="715" spans="1:25" x14ac:dyDescent="0.35">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c r="T715">
        <f t="shared" si="66"/>
        <v>223.56</v>
      </c>
      <c r="U715">
        <f t="shared" si="67"/>
        <v>33.533999999999999</v>
      </c>
      <c r="V715">
        <f t="shared" si="68"/>
        <v>190.02600000000001</v>
      </c>
      <c r="W715">
        <f t="shared" si="69"/>
        <v>5</v>
      </c>
      <c r="X715">
        <f t="shared" si="70"/>
        <v>-33.533999999999992</v>
      </c>
      <c r="Y715">
        <f t="shared" si="71"/>
        <v>0</v>
      </c>
    </row>
    <row r="716" spans="1:25" x14ac:dyDescent="0.35">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c r="T716">
        <f t="shared" si="66"/>
        <v>588.54</v>
      </c>
      <c r="U716">
        <f t="shared" si="67"/>
        <v>58.853999999999999</v>
      </c>
      <c r="V716">
        <f t="shared" si="68"/>
        <v>529.68599999999992</v>
      </c>
      <c r="W716">
        <f t="shared" si="69"/>
        <v>4</v>
      </c>
      <c r="X716">
        <f t="shared" si="70"/>
        <v>-58.854000000000042</v>
      </c>
      <c r="Y716">
        <f t="shared" si="71"/>
        <v>0</v>
      </c>
    </row>
    <row r="717" spans="1:25" x14ac:dyDescent="0.35">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c r="T717">
        <f t="shared" si="66"/>
        <v>319.49</v>
      </c>
      <c r="U717">
        <f t="shared" si="67"/>
        <v>47.923499999999997</v>
      </c>
      <c r="V717">
        <f t="shared" si="68"/>
        <v>271.56650000000002</v>
      </c>
      <c r="W717">
        <f t="shared" si="69"/>
        <v>10</v>
      </c>
      <c r="X717">
        <f t="shared" si="70"/>
        <v>-47.92349999999999</v>
      </c>
      <c r="Y717">
        <f t="shared" si="71"/>
        <v>0</v>
      </c>
    </row>
    <row r="718" spans="1:25" x14ac:dyDescent="0.35">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c r="T718">
        <f t="shared" si="66"/>
        <v>3415.44</v>
      </c>
      <c r="U718">
        <f t="shared" si="67"/>
        <v>170.77200000000002</v>
      </c>
      <c r="V718">
        <f t="shared" si="68"/>
        <v>3244.6680000000001</v>
      </c>
      <c r="W718">
        <f t="shared" si="69"/>
        <v>4</v>
      </c>
      <c r="X718">
        <f t="shared" si="70"/>
        <v>-170.77199999999993</v>
      </c>
      <c r="Y718">
        <f t="shared" si="71"/>
        <v>0</v>
      </c>
    </row>
    <row r="719" spans="1:25" x14ac:dyDescent="0.35">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c r="T719">
        <f t="shared" si="66"/>
        <v>290.88</v>
      </c>
      <c r="U719">
        <f t="shared" si="67"/>
        <v>29.088000000000001</v>
      </c>
      <c r="V719">
        <f t="shared" si="68"/>
        <v>261.79199999999997</v>
      </c>
      <c r="W719">
        <f t="shared" si="69"/>
        <v>5</v>
      </c>
      <c r="X719">
        <f t="shared" si="70"/>
        <v>-29.088000000000022</v>
      </c>
      <c r="Y719">
        <f t="shared" si="71"/>
        <v>0</v>
      </c>
    </row>
    <row r="720" spans="1:25" x14ac:dyDescent="0.35">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c r="T720">
        <f t="shared" si="66"/>
        <v>1749.4</v>
      </c>
      <c r="U720">
        <f t="shared" si="67"/>
        <v>0</v>
      </c>
      <c r="V720">
        <f t="shared" si="68"/>
        <v>1749.4</v>
      </c>
      <c r="W720">
        <f t="shared" si="69"/>
        <v>9</v>
      </c>
      <c r="X720">
        <f t="shared" si="70"/>
        <v>0</v>
      </c>
      <c r="Y720">
        <f t="shared" si="71"/>
        <v>0</v>
      </c>
    </row>
    <row r="721" spans="1:25" x14ac:dyDescent="0.35">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c r="T721">
        <f t="shared" si="66"/>
        <v>7915.2000000000007</v>
      </c>
      <c r="U721">
        <f t="shared" si="67"/>
        <v>791.5200000000001</v>
      </c>
      <c r="V721">
        <f t="shared" si="68"/>
        <v>7123.68</v>
      </c>
      <c r="W721">
        <f t="shared" si="69"/>
        <v>5</v>
      </c>
      <c r="X721">
        <f t="shared" si="70"/>
        <v>-791.52000000000044</v>
      </c>
      <c r="Y721">
        <f t="shared" si="71"/>
        <v>0</v>
      </c>
    </row>
    <row r="722" spans="1:25" x14ac:dyDescent="0.35">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c r="T722">
        <f t="shared" si="66"/>
        <v>4749.46</v>
      </c>
      <c r="U722">
        <f t="shared" si="67"/>
        <v>237.47300000000001</v>
      </c>
      <c r="V722">
        <f t="shared" si="68"/>
        <v>4511.9870000000001</v>
      </c>
      <c r="W722">
        <f t="shared" si="69"/>
        <v>3</v>
      </c>
      <c r="X722">
        <f t="shared" si="70"/>
        <v>-237.47299999999996</v>
      </c>
      <c r="Y722">
        <f t="shared" si="71"/>
        <v>0</v>
      </c>
    </row>
    <row r="723" spans="1:25" x14ac:dyDescent="0.35">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c r="T723">
        <f t="shared" si="66"/>
        <v>6842.88</v>
      </c>
      <c r="U723">
        <f t="shared" si="67"/>
        <v>684.28800000000001</v>
      </c>
      <c r="V723">
        <f t="shared" si="68"/>
        <v>6158.5920000000006</v>
      </c>
      <c r="W723">
        <f t="shared" si="69"/>
        <v>9</v>
      </c>
      <c r="X723">
        <f t="shared" si="70"/>
        <v>-684.28799999999956</v>
      </c>
      <c r="Y723">
        <f t="shared" si="71"/>
        <v>0</v>
      </c>
    </row>
    <row r="724" spans="1:25" x14ac:dyDescent="0.35">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c r="T724">
        <f t="shared" si="66"/>
        <v>4225.9500000000007</v>
      </c>
      <c r="U724">
        <f t="shared" si="67"/>
        <v>422.59500000000008</v>
      </c>
      <c r="V724">
        <f t="shared" si="68"/>
        <v>3803.3550000000005</v>
      </c>
      <c r="W724">
        <f t="shared" si="69"/>
        <v>4</v>
      </c>
      <c r="X724">
        <f t="shared" si="70"/>
        <v>-422.59500000000025</v>
      </c>
      <c r="Y724">
        <f t="shared" si="71"/>
        <v>0</v>
      </c>
    </row>
    <row r="725" spans="1:25" x14ac:dyDescent="0.35">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c r="T725">
        <f t="shared" si="66"/>
        <v>2775</v>
      </c>
      <c r="U725">
        <f t="shared" si="67"/>
        <v>0</v>
      </c>
      <c r="V725">
        <f t="shared" si="68"/>
        <v>2775</v>
      </c>
      <c r="W725">
        <f t="shared" si="69"/>
        <v>2</v>
      </c>
      <c r="X725">
        <f t="shared" si="70"/>
        <v>0</v>
      </c>
      <c r="Y725">
        <f t="shared" si="71"/>
        <v>0</v>
      </c>
    </row>
    <row r="726" spans="1:25" x14ac:dyDescent="0.35">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c r="T726">
        <f t="shared" si="66"/>
        <v>7235.58</v>
      </c>
      <c r="U726">
        <f t="shared" si="67"/>
        <v>723.55799999999999</v>
      </c>
      <c r="V726">
        <f t="shared" si="68"/>
        <v>6512.0219999999999</v>
      </c>
      <c r="W726">
        <f t="shared" si="69"/>
        <v>3</v>
      </c>
      <c r="X726">
        <f t="shared" si="70"/>
        <v>-723.55799999999999</v>
      </c>
      <c r="Y726">
        <f t="shared" si="71"/>
        <v>0</v>
      </c>
    </row>
    <row r="727" spans="1:25" x14ac:dyDescent="0.35">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c r="T727">
        <f t="shared" si="66"/>
        <v>1779.48</v>
      </c>
      <c r="U727">
        <f t="shared" si="67"/>
        <v>266.92199999999997</v>
      </c>
      <c r="V727">
        <f t="shared" si="68"/>
        <v>1512.558</v>
      </c>
      <c r="W727">
        <f t="shared" si="69"/>
        <v>9</v>
      </c>
      <c r="X727">
        <f t="shared" si="70"/>
        <v>-266.92200000000003</v>
      </c>
      <c r="Y727">
        <f t="shared" si="71"/>
        <v>0</v>
      </c>
    </row>
    <row r="728" spans="1:25" x14ac:dyDescent="0.35">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c r="T728">
        <f t="shared" si="66"/>
        <v>4135.53</v>
      </c>
      <c r="U728">
        <f t="shared" si="67"/>
        <v>206.7765</v>
      </c>
      <c r="V728">
        <f t="shared" si="68"/>
        <v>3928.7534999999998</v>
      </c>
      <c r="W728">
        <f t="shared" si="69"/>
        <v>5</v>
      </c>
      <c r="X728">
        <f t="shared" si="70"/>
        <v>-206.77649999999994</v>
      </c>
      <c r="Y728">
        <f t="shared" si="71"/>
        <v>0</v>
      </c>
    </row>
    <row r="729" spans="1:25" x14ac:dyDescent="0.35">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c r="T729">
        <f t="shared" si="66"/>
        <v>172.89999999999998</v>
      </c>
      <c r="U729">
        <f t="shared" si="67"/>
        <v>17.29</v>
      </c>
      <c r="V729">
        <f t="shared" si="68"/>
        <v>155.60999999999999</v>
      </c>
      <c r="W729">
        <f t="shared" si="69"/>
        <v>4</v>
      </c>
      <c r="X729">
        <f t="shared" si="70"/>
        <v>-17.289999999999992</v>
      </c>
      <c r="Y729">
        <f t="shared" si="71"/>
        <v>0</v>
      </c>
    </row>
    <row r="730" spans="1:25" x14ac:dyDescent="0.35">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c r="T730">
        <f t="shared" si="66"/>
        <v>3943.9800000000005</v>
      </c>
      <c r="U730">
        <f t="shared" si="67"/>
        <v>197.19900000000004</v>
      </c>
      <c r="V730">
        <f t="shared" si="68"/>
        <v>3746.7810000000004</v>
      </c>
      <c r="W730">
        <f t="shared" si="69"/>
        <v>6</v>
      </c>
      <c r="X730">
        <f t="shared" si="70"/>
        <v>-197.19900000000007</v>
      </c>
      <c r="Y730">
        <f t="shared" si="71"/>
        <v>0</v>
      </c>
    </row>
    <row r="731" spans="1:25" x14ac:dyDescent="0.35">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c r="T731">
        <f t="shared" si="66"/>
        <v>424.54999999999995</v>
      </c>
      <c r="U731">
        <f t="shared" si="67"/>
        <v>42.454999999999998</v>
      </c>
      <c r="V731">
        <f t="shared" si="68"/>
        <v>382.09499999999997</v>
      </c>
      <c r="W731">
        <f t="shared" si="69"/>
        <v>6</v>
      </c>
      <c r="X731">
        <f t="shared" si="70"/>
        <v>-42.454999999999984</v>
      </c>
      <c r="Y731">
        <f t="shared" si="71"/>
        <v>0</v>
      </c>
    </row>
    <row r="732" spans="1:25" x14ac:dyDescent="0.35">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c r="T732">
        <f t="shared" si="66"/>
        <v>2254.77</v>
      </c>
      <c r="U732">
        <f t="shared" si="67"/>
        <v>225.477</v>
      </c>
      <c r="V732">
        <f t="shared" si="68"/>
        <v>2029.2929999999999</v>
      </c>
      <c r="W732">
        <f t="shared" si="69"/>
        <v>10</v>
      </c>
      <c r="X732">
        <f t="shared" si="70"/>
        <v>-225.47700000000009</v>
      </c>
      <c r="Y732">
        <f t="shared" si="71"/>
        <v>0</v>
      </c>
    </row>
    <row r="733" spans="1:25" x14ac:dyDescent="0.35">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c r="T733">
        <f t="shared" si="66"/>
        <v>463.92</v>
      </c>
      <c r="U733">
        <f t="shared" si="67"/>
        <v>46.392000000000003</v>
      </c>
      <c r="V733">
        <f t="shared" si="68"/>
        <v>417.52800000000002</v>
      </c>
      <c r="W733">
        <f t="shared" si="69"/>
        <v>9</v>
      </c>
      <c r="X733">
        <f t="shared" si="70"/>
        <v>-46.391999999999996</v>
      </c>
      <c r="Y733">
        <f t="shared" si="71"/>
        <v>0</v>
      </c>
    </row>
    <row r="734" spans="1:25" x14ac:dyDescent="0.35">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c r="T734">
        <f t="shared" si="66"/>
        <v>3631.0499999999997</v>
      </c>
      <c r="U734">
        <f t="shared" si="67"/>
        <v>544.65749999999991</v>
      </c>
      <c r="V734">
        <f t="shared" si="68"/>
        <v>3086.3924999999999</v>
      </c>
      <c r="W734">
        <f t="shared" si="69"/>
        <v>6</v>
      </c>
      <c r="X734">
        <f t="shared" si="70"/>
        <v>-544.6574999999998</v>
      </c>
      <c r="Y734">
        <f t="shared" si="71"/>
        <v>0</v>
      </c>
    </row>
    <row r="735" spans="1:25" x14ac:dyDescent="0.35">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c r="T735">
        <f t="shared" si="66"/>
        <v>96.04</v>
      </c>
      <c r="U735">
        <f t="shared" si="67"/>
        <v>4.8020000000000005</v>
      </c>
      <c r="V735">
        <f t="shared" si="68"/>
        <v>91.238</v>
      </c>
      <c r="W735">
        <f t="shared" si="69"/>
        <v>3</v>
      </c>
      <c r="X735">
        <f t="shared" si="70"/>
        <v>-4.8020000000000067</v>
      </c>
      <c r="Y735">
        <f t="shared" si="71"/>
        <v>0</v>
      </c>
    </row>
    <row r="736" spans="1:25" x14ac:dyDescent="0.35">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c r="T736">
        <f t="shared" si="66"/>
        <v>534.28</v>
      </c>
      <c r="U736">
        <f t="shared" si="67"/>
        <v>53.427999999999997</v>
      </c>
      <c r="V736">
        <f t="shared" si="68"/>
        <v>480.85199999999998</v>
      </c>
      <c r="W736">
        <f t="shared" si="69"/>
        <v>5</v>
      </c>
      <c r="X736">
        <f t="shared" si="70"/>
        <v>-53.427999999999997</v>
      </c>
      <c r="Y736">
        <f t="shared" si="71"/>
        <v>0</v>
      </c>
    </row>
    <row r="737" spans="1:25" x14ac:dyDescent="0.35">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c r="T737">
        <f t="shared" si="66"/>
        <v>294.45000000000005</v>
      </c>
      <c r="U737">
        <f t="shared" si="67"/>
        <v>44.167500000000004</v>
      </c>
      <c r="V737">
        <f t="shared" si="68"/>
        <v>250.28250000000003</v>
      </c>
      <c r="W737">
        <f t="shared" si="69"/>
        <v>8</v>
      </c>
      <c r="X737">
        <f t="shared" si="70"/>
        <v>-44.167500000000018</v>
      </c>
      <c r="Y737">
        <f t="shared" si="71"/>
        <v>0</v>
      </c>
    </row>
    <row r="738" spans="1:25" x14ac:dyDescent="0.35">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c r="T738">
        <f t="shared" si="66"/>
        <v>742.2</v>
      </c>
      <c r="U738">
        <f t="shared" si="67"/>
        <v>37.110000000000007</v>
      </c>
      <c r="V738">
        <f t="shared" si="68"/>
        <v>705.09</v>
      </c>
      <c r="W738">
        <f t="shared" si="69"/>
        <v>6</v>
      </c>
      <c r="X738">
        <f t="shared" si="70"/>
        <v>-37.110000000000014</v>
      </c>
      <c r="Y738">
        <f t="shared" si="71"/>
        <v>0</v>
      </c>
    </row>
    <row r="739" spans="1:25" x14ac:dyDescent="0.35">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c r="T739">
        <f t="shared" si="66"/>
        <v>1610.04</v>
      </c>
      <c r="U739">
        <f t="shared" si="67"/>
        <v>161.00400000000002</v>
      </c>
      <c r="V739">
        <f t="shared" si="68"/>
        <v>1449.0360000000001</v>
      </c>
      <c r="W739">
        <f t="shared" si="69"/>
        <v>3</v>
      </c>
      <c r="X739">
        <f t="shared" si="70"/>
        <v>-161.00399999999991</v>
      </c>
      <c r="Y739">
        <f t="shared" si="71"/>
        <v>0</v>
      </c>
    </row>
    <row r="740" spans="1:25" x14ac:dyDescent="0.35">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c r="T740">
        <f t="shared" si="66"/>
        <v>2116.12</v>
      </c>
      <c r="U740">
        <f t="shared" si="67"/>
        <v>105.806</v>
      </c>
      <c r="V740">
        <f t="shared" si="68"/>
        <v>2010.3139999999999</v>
      </c>
      <c r="W740">
        <f t="shared" si="69"/>
        <v>10</v>
      </c>
      <c r="X740">
        <f t="shared" si="70"/>
        <v>-105.80600000000004</v>
      </c>
      <c r="Y740">
        <f t="shared" si="71"/>
        <v>0</v>
      </c>
    </row>
    <row r="741" spans="1:25" x14ac:dyDescent="0.35">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c r="T741">
        <f t="shared" si="66"/>
        <v>214.64</v>
      </c>
      <c r="U741">
        <f t="shared" si="67"/>
        <v>10.731999999999999</v>
      </c>
      <c r="V741">
        <f t="shared" si="68"/>
        <v>203.90799999999999</v>
      </c>
      <c r="W741">
        <f t="shared" si="69"/>
        <v>2</v>
      </c>
      <c r="X741">
        <f t="shared" si="70"/>
        <v>-10.731999999999999</v>
      </c>
      <c r="Y741">
        <f t="shared" si="71"/>
        <v>0</v>
      </c>
    </row>
    <row r="742" spans="1:25" x14ac:dyDescent="0.35">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c r="T742">
        <f t="shared" si="66"/>
        <v>500.96</v>
      </c>
      <c r="U742">
        <f t="shared" si="67"/>
        <v>25.048000000000002</v>
      </c>
      <c r="V742">
        <f t="shared" si="68"/>
        <v>475.91199999999998</v>
      </c>
      <c r="W742">
        <f t="shared" si="69"/>
        <v>4</v>
      </c>
      <c r="X742">
        <f t="shared" si="70"/>
        <v>-25.048000000000002</v>
      </c>
      <c r="Y742">
        <f t="shared" si="71"/>
        <v>0</v>
      </c>
    </row>
    <row r="743" spans="1:25" x14ac:dyDescent="0.35">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c r="T743">
        <f t="shared" si="66"/>
        <v>9346.26</v>
      </c>
      <c r="U743">
        <f t="shared" si="67"/>
        <v>467.31300000000005</v>
      </c>
      <c r="V743">
        <f t="shared" si="68"/>
        <v>8878.9470000000001</v>
      </c>
      <c r="W743">
        <f t="shared" si="69"/>
        <v>3</v>
      </c>
      <c r="X743">
        <f t="shared" si="70"/>
        <v>-467.3130000000001</v>
      </c>
      <c r="Y743">
        <f t="shared" si="71"/>
        <v>0</v>
      </c>
    </row>
    <row r="744" spans="1:25" x14ac:dyDescent="0.35">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c r="T744">
        <f t="shared" si="66"/>
        <v>175.53</v>
      </c>
      <c r="U744">
        <f t="shared" si="67"/>
        <v>8.7765000000000004</v>
      </c>
      <c r="V744">
        <f t="shared" si="68"/>
        <v>166.7535</v>
      </c>
      <c r="W744">
        <f t="shared" si="69"/>
        <v>4</v>
      </c>
      <c r="X744">
        <f t="shared" si="70"/>
        <v>-8.7764999999999986</v>
      </c>
      <c r="Y744">
        <f t="shared" si="71"/>
        <v>0</v>
      </c>
    </row>
    <row r="745" spans="1:25" x14ac:dyDescent="0.35">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c r="T745">
        <f t="shared" si="66"/>
        <v>8569.36</v>
      </c>
      <c r="U745">
        <f t="shared" si="67"/>
        <v>856.93600000000015</v>
      </c>
      <c r="V745">
        <f t="shared" si="68"/>
        <v>7712.4240000000009</v>
      </c>
      <c r="W745">
        <f t="shared" si="69"/>
        <v>8</v>
      </c>
      <c r="X745">
        <f t="shared" si="70"/>
        <v>-856.93599999999969</v>
      </c>
      <c r="Y745">
        <f t="shared" si="71"/>
        <v>0</v>
      </c>
    </row>
    <row r="746" spans="1:25" x14ac:dyDescent="0.35">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c r="T746">
        <f t="shared" si="66"/>
        <v>7133.71</v>
      </c>
      <c r="U746">
        <f t="shared" si="67"/>
        <v>0</v>
      </c>
      <c r="V746">
        <f t="shared" si="68"/>
        <v>7133.71</v>
      </c>
      <c r="W746">
        <f t="shared" si="69"/>
        <v>6</v>
      </c>
      <c r="X746">
        <f t="shared" si="70"/>
        <v>0</v>
      </c>
      <c r="Y746">
        <f t="shared" si="71"/>
        <v>0</v>
      </c>
    </row>
    <row r="747" spans="1:25" x14ac:dyDescent="0.35">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c r="T747">
        <f t="shared" si="66"/>
        <v>534.72</v>
      </c>
      <c r="U747">
        <f t="shared" si="67"/>
        <v>26.736000000000004</v>
      </c>
      <c r="V747">
        <f t="shared" si="68"/>
        <v>507.98400000000004</v>
      </c>
      <c r="W747">
        <f t="shared" si="69"/>
        <v>9</v>
      </c>
      <c r="X747">
        <f t="shared" si="70"/>
        <v>-26.73599999999999</v>
      </c>
      <c r="Y747">
        <f t="shared" si="71"/>
        <v>0</v>
      </c>
    </row>
    <row r="748" spans="1:25" x14ac:dyDescent="0.35">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c r="T748">
        <f t="shared" si="66"/>
        <v>596.12</v>
      </c>
      <c r="U748">
        <f t="shared" si="67"/>
        <v>0</v>
      </c>
      <c r="V748">
        <f t="shared" si="68"/>
        <v>596.12</v>
      </c>
      <c r="W748">
        <f t="shared" si="69"/>
        <v>6</v>
      </c>
      <c r="X748">
        <f t="shared" si="70"/>
        <v>0</v>
      </c>
      <c r="Y748">
        <f t="shared" si="71"/>
        <v>0</v>
      </c>
    </row>
    <row r="749" spans="1:25" x14ac:dyDescent="0.35">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c r="T749">
        <f t="shared" si="66"/>
        <v>1728.61</v>
      </c>
      <c r="U749">
        <f t="shared" si="67"/>
        <v>86.430499999999995</v>
      </c>
      <c r="V749">
        <f t="shared" si="68"/>
        <v>1642.1795</v>
      </c>
      <c r="W749">
        <f t="shared" si="69"/>
        <v>5</v>
      </c>
      <c r="X749">
        <f t="shared" si="70"/>
        <v>-86.430499999999938</v>
      </c>
      <c r="Y749">
        <f t="shared" si="71"/>
        <v>0</v>
      </c>
    </row>
    <row r="750" spans="1:25" x14ac:dyDescent="0.35">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c r="T750">
        <f t="shared" si="66"/>
        <v>6667.92</v>
      </c>
      <c r="U750">
        <f t="shared" si="67"/>
        <v>666.79200000000003</v>
      </c>
      <c r="V750">
        <f t="shared" si="68"/>
        <v>6001.1279999999997</v>
      </c>
      <c r="W750">
        <f t="shared" si="69"/>
        <v>5</v>
      </c>
      <c r="X750">
        <f t="shared" si="70"/>
        <v>-666.79200000000037</v>
      </c>
      <c r="Y750">
        <f t="shared" si="71"/>
        <v>0</v>
      </c>
    </row>
    <row r="751" spans="1:25" x14ac:dyDescent="0.35">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c r="T751">
        <f t="shared" si="66"/>
        <v>4718.08</v>
      </c>
      <c r="U751">
        <f t="shared" si="67"/>
        <v>235.904</v>
      </c>
      <c r="V751">
        <f t="shared" si="68"/>
        <v>4482.1759999999995</v>
      </c>
      <c r="W751">
        <f t="shared" si="69"/>
        <v>4</v>
      </c>
      <c r="X751">
        <f t="shared" si="70"/>
        <v>-235.90400000000045</v>
      </c>
      <c r="Y751">
        <f t="shared" si="71"/>
        <v>0</v>
      </c>
    </row>
    <row r="752" spans="1:25" x14ac:dyDescent="0.35">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c r="T752">
        <f t="shared" si="66"/>
        <v>11324.57</v>
      </c>
      <c r="U752">
        <f t="shared" si="67"/>
        <v>1698.6854999999998</v>
      </c>
      <c r="V752">
        <f t="shared" si="68"/>
        <v>9625.8845000000001</v>
      </c>
      <c r="W752">
        <f t="shared" si="69"/>
        <v>9</v>
      </c>
      <c r="X752">
        <f t="shared" si="70"/>
        <v>-1698.6854999999996</v>
      </c>
      <c r="Y752">
        <f t="shared" si="71"/>
        <v>0</v>
      </c>
    </row>
    <row r="753" spans="1:25" x14ac:dyDescent="0.35">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c r="T753">
        <f t="shared" si="66"/>
        <v>1094.4000000000001</v>
      </c>
      <c r="U753">
        <f t="shared" si="67"/>
        <v>0</v>
      </c>
      <c r="V753">
        <f t="shared" si="68"/>
        <v>1094.4000000000001</v>
      </c>
      <c r="W753">
        <f t="shared" si="69"/>
        <v>9</v>
      </c>
      <c r="X753">
        <f t="shared" si="70"/>
        <v>0</v>
      </c>
      <c r="Y753">
        <f t="shared" si="71"/>
        <v>0</v>
      </c>
    </row>
    <row r="754" spans="1:25" x14ac:dyDescent="0.35">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c r="T754">
        <f t="shared" si="66"/>
        <v>4009.5</v>
      </c>
      <c r="U754">
        <f t="shared" si="67"/>
        <v>200.47500000000002</v>
      </c>
      <c r="V754">
        <f t="shared" si="68"/>
        <v>3809.0250000000001</v>
      </c>
      <c r="W754">
        <f t="shared" si="69"/>
        <v>9</v>
      </c>
      <c r="X754">
        <f t="shared" si="70"/>
        <v>-200.47499999999991</v>
      </c>
      <c r="Y754">
        <f t="shared" si="71"/>
        <v>0</v>
      </c>
    </row>
    <row r="755" spans="1:25" x14ac:dyDescent="0.35">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c r="T755">
        <f t="shared" si="66"/>
        <v>2615.6200000000003</v>
      </c>
      <c r="U755">
        <f t="shared" si="67"/>
        <v>130.78100000000003</v>
      </c>
      <c r="V755">
        <f t="shared" si="68"/>
        <v>2484.8390000000004</v>
      </c>
      <c r="W755">
        <f t="shared" si="69"/>
        <v>6</v>
      </c>
      <c r="X755">
        <f t="shared" si="70"/>
        <v>-130.78099999999995</v>
      </c>
      <c r="Y755">
        <f t="shared" si="71"/>
        <v>0</v>
      </c>
    </row>
    <row r="756" spans="1:25" x14ac:dyDescent="0.35">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c r="T756">
        <f t="shared" si="66"/>
        <v>2489.6200000000003</v>
      </c>
      <c r="U756">
        <f t="shared" si="67"/>
        <v>373.44300000000004</v>
      </c>
      <c r="V756">
        <f t="shared" si="68"/>
        <v>2116.1770000000001</v>
      </c>
      <c r="W756">
        <f t="shared" si="69"/>
        <v>6</v>
      </c>
      <c r="X756">
        <f t="shared" si="70"/>
        <v>-373.44300000000021</v>
      </c>
      <c r="Y756">
        <f t="shared" si="71"/>
        <v>0</v>
      </c>
    </row>
    <row r="757" spans="1:25" x14ac:dyDescent="0.35">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c r="T757">
        <f t="shared" si="66"/>
        <v>3123.7200000000003</v>
      </c>
      <c r="U757">
        <f t="shared" si="67"/>
        <v>312.37200000000007</v>
      </c>
      <c r="V757">
        <f t="shared" si="68"/>
        <v>2811.348</v>
      </c>
      <c r="W757">
        <f t="shared" si="69"/>
        <v>8</v>
      </c>
      <c r="X757">
        <f t="shared" si="70"/>
        <v>-312.3720000000003</v>
      </c>
      <c r="Y757">
        <f t="shared" si="71"/>
        <v>0</v>
      </c>
    </row>
    <row r="758" spans="1:25" x14ac:dyDescent="0.35">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c r="T758">
        <f t="shared" si="66"/>
        <v>3709.9</v>
      </c>
      <c r="U758">
        <f t="shared" si="67"/>
        <v>556.48500000000001</v>
      </c>
      <c r="V758">
        <f t="shared" si="68"/>
        <v>3153.415</v>
      </c>
      <c r="W758">
        <f t="shared" si="69"/>
        <v>5</v>
      </c>
      <c r="X758">
        <f t="shared" si="70"/>
        <v>-556.48500000000013</v>
      </c>
      <c r="Y758">
        <f t="shared" si="71"/>
        <v>0</v>
      </c>
    </row>
    <row r="759" spans="1:25" x14ac:dyDescent="0.35">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c r="T759">
        <f t="shared" si="66"/>
        <v>1097.44</v>
      </c>
      <c r="U759">
        <f t="shared" si="67"/>
        <v>109.74400000000001</v>
      </c>
      <c r="V759">
        <f t="shared" si="68"/>
        <v>987.69600000000003</v>
      </c>
      <c r="W759">
        <f t="shared" si="69"/>
        <v>9</v>
      </c>
      <c r="X759">
        <f t="shared" si="70"/>
        <v>-109.74400000000003</v>
      </c>
      <c r="Y759">
        <f t="shared" si="71"/>
        <v>0</v>
      </c>
    </row>
    <row r="760" spans="1:25" x14ac:dyDescent="0.35">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c r="T760">
        <f t="shared" si="66"/>
        <v>2748.24</v>
      </c>
      <c r="U760">
        <f t="shared" si="67"/>
        <v>0</v>
      </c>
      <c r="V760">
        <f t="shared" si="68"/>
        <v>2748.24</v>
      </c>
      <c r="W760">
        <f t="shared" si="69"/>
        <v>10</v>
      </c>
      <c r="X760">
        <f t="shared" si="70"/>
        <v>0</v>
      </c>
      <c r="Y760">
        <f t="shared" si="71"/>
        <v>0</v>
      </c>
    </row>
    <row r="761" spans="1:25" x14ac:dyDescent="0.35">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c r="T761">
        <f t="shared" si="66"/>
        <v>6432.1399999999994</v>
      </c>
      <c r="U761">
        <f t="shared" si="67"/>
        <v>964.82099999999991</v>
      </c>
      <c r="V761">
        <f t="shared" si="68"/>
        <v>5467.3189999999995</v>
      </c>
      <c r="W761">
        <f t="shared" si="69"/>
        <v>9</v>
      </c>
      <c r="X761">
        <f t="shared" si="70"/>
        <v>-964.82099999999991</v>
      </c>
      <c r="Y761">
        <f t="shared" si="71"/>
        <v>0</v>
      </c>
    </row>
    <row r="762" spans="1:25" x14ac:dyDescent="0.35">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c r="T762">
        <f t="shared" si="66"/>
        <v>329.58</v>
      </c>
      <c r="U762">
        <f t="shared" si="67"/>
        <v>32.957999999999998</v>
      </c>
      <c r="V762">
        <f t="shared" si="68"/>
        <v>296.62199999999996</v>
      </c>
      <c r="W762">
        <f t="shared" si="69"/>
        <v>7</v>
      </c>
      <c r="X762">
        <f t="shared" si="70"/>
        <v>-32.958000000000027</v>
      </c>
      <c r="Y762">
        <f t="shared" si="71"/>
        <v>0</v>
      </c>
    </row>
    <row r="763" spans="1:25" x14ac:dyDescent="0.35">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c r="T763">
        <f t="shared" si="66"/>
        <v>3026.7999999999997</v>
      </c>
      <c r="U763">
        <f t="shared" si="67"/>
        <v>0</v>
      </c>
      <c r="V763">
        <f t="shared" si="68"/>
        <v>3026.7999999999997</v>
      </c>
      <c r="W763">
        <f t="shared" si="69"/>
        <v>4</v>
      </c>
      <c r="X763">
        <f t="shared" si="70"/>
        <v>0</v>
      </c>
      <c r="Y763">
        <f t="shared" si="71"/>
        <v>0</v>
      </c>
    </row>
    <row r="764" spans="1:25" x14ac:dyDescent="0.35">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c r="T764">
        <f t="shared" si="66"/>
        <v>1418.89</v>
      </c>
      <c r="U764">
        <f t="shared" si="67"/>
        <v>70.944500000000005</v>
      </c>
      <c r="V764">
        <f t="shared" si="68"/>
        <v>1347.9455</v>
      </c>
      <c r="W764">
        <f t="shared" si="69"/>
        <v>3</v>
      </c>
      <c r="X764">
        <f t="shared" si="70"/>
        <v>-70.944500000000062</v>
      </c>
      <c r="Y764">
        <f t="shared" si="71"/>
        <v>0</v>
      </c>
    </row>
    <row r="765" spans="1:25" x14ac:dyDescent="0.35">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c r="T765">
        <f t="shared" si="66"/>
        <v>2014.21</v>
      </c>
      <c r="U765">
        <f t="shared" si="67"/>
        <v>302.13150000000002</v>
      </c>
      <c r="V765">
        <f t="shared" si="68"/>
        <v>1712.0785000000001</v>
      </c>
      <c r="W765">
        <f t="shared" si="69"/>
        <v>2</v>
      </c>
      <c r="X765">
        <f t="shared" si="70"/>
        <v>-302.13149999999996</v>
      </c>
      <c r="Y765">
        <f t="shared" si="71"/>
        <v>0</v>
      </c>
    </row>
    <row r="766" spans="1:25" x14ac:dyDescent="0.35">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c r="T766">
        <f t="shared" si="66"/>
        <v>3057.45</v>
      </c>
      <c r="U766">
        <f t="shared" si="67"/>
        <v>152.8725</v>
      </c>
      <c r="V766">
        <f t="shared" si="68"/>
        <v>2904.5774999999999</v>
      </c>
      <c r="W766">
        <f t="shared" si="69"/>
        <v>7</v>
      </c>
      <c r="X766">
        <f t="shared" si="70"/>
        <v>-152.87249999999995</v>
      </c>
      <c r="Y766">
        <f t="shared" si="71"/>
        <v>0</v>
      </c>
    </row>
    <row r="767" spans="1:25" x14ac:dyDescent="0.35">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c r="T767">
        <f t="shared" si="66"/>
        <v>7757.1200000000008</v>
      </c>
      <c r="U767">
        <f t="shared" si="67"/>
        <v>387.85600000000005</v>
      </c>
      <c r="V767">
        <f t="shared" si="68"/>
        <v>7369.264000000001</v>
      </c>
      <c r="W767">
        <f t="shared" si="69"/>
        <v>9</v>
      </c>
      <c r="X767">
        <f t="shared" si="70"/>
        <v>-387.85599999999977</v>
      </c>
      <c r="Y767">
        <f t="shared" si="71"/>
        <v>0</v>
      </c>
    </row>
    <row r="768" spans="1:25" x14ac:dyDescent="0.35">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c r="T768">
        <f t="shared" si="66"/>
        <v>349.8</v>
      </c>
      <c r="U768">
        <f t="shared" si="67"/>
        <v>17.490000000000002</v>
      </c>
      <c r="V768">
        <f t="shared" si="68"/>
        <v>332.31</v>
      </c>
      <c r="W768">
        <f t="shared" si="69"/>
        <v>3</v>
      </c>
      <c r="X768">
        <f t="shared" si="70"/>
        <v>-17.490000000000009</v>
      </c>
      <c r="Y768">
        <f t="shared" si="71"/>
        <v>0</v>
      </c>
    </row>
    <row r="769" spans="1:25" x14ac:dyDescent="0.35">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c r="T769">
        <f t="shared" si="66"/>
        <v>83.84</v>
      </c>
      <c r="U769">
        <f t="shared" si="67"/>
        <v>4.1920000000000002</v>
      </c>
      <c r="V769">
        <f t="shared" si="68"/>
        <v>79.647999999999996</v>
      </c>
      <c r="W769">
        <f t="shared" si="69"/>
        <v>8</v>
      </c>
      <c r="X769">
        <f t="shared" si="70"/>
        <v>-4.1920000000000073</v>
      </c>
      <c r="Y769">
        <f t="shared" si="71"/>
        <v>0</v>
      </c>
    </row>
    <row r="770" spans="1:25" x14ac:dyDescent="0.35">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c r="T770">
        <f t="shared" si="66"/>
        <v>2381.2199999999998</v>
      </c>
      <c r="U770">
        <f t="shared" si="67"/>
        <v>119.06099999999999</v>
      </c>
      <c r="V770">
        <f t="shared" si="68"/>
        <v>2262.1589999999997</v>
      </c>
      <c r="W770">
        <f t="shared" si="69"/>
        <v>3</v>
      </c>
      <c r="X770">
        <f t="shared" si="70"/>
        <v>-119.06100000000015</v>
      </c>
      <c r="Y770">
        <f t="shared" si="71"/>
        <v>0</v>
      </c>
    </row>
    <row r="771" spans="1:25" x14ac:dyDescent="0.35">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c r="T771">
        <f t="shared" ref="T771:T834" si="72">D771*E771</f>
        <v>3793.35</v>
      </c>
      <c r="U771">
        <f t="shared" ref="U771:U834" si="73">T771*H771</f>
        <v>379.33500000000004</v>
      </c>
      <c r="V771">
        <f t="shared" ref="V771:V834" si="74">T771-U771</f>
        <v>3414.0149999999999</v>
      </c>
      <c r="W771">
        <f t="shared" ref="W771:W834" si="75">R771-Q771</f>
        <v>5</v>
      </c>
      <c r="X771">
        <f t="shared" ref="X771:X834" si="76">V771-(E771*D771)</f>
        <v>-379.33500000000004</v>
      </c>
      <c r="Y771">
        <f t="shared" ref="Y771:Y834" si="77">IF(M771 = "Yes", -V771,0)</f>
        <v>0</v>
      </c>
    </row>
    <row r="772" spans="1:25" x14ac:dyDescent="0.35">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c r="T772">
        <f t="shared" si="72"/>
        <v>4912</v>
      </c>
      <c r="U772">
        <f t="shared" si="73"/>
        <v>0</v>
      </c>
      <c r="V772">
        <f t="shared" si="74"/>
        <v>4912</v>
      </c>
      <c r="W772">
        <f t="shared" si="75"/>
        <v>2</v>
      </c>
      <c r="X772">
        <f t="shared" si="76"/>
        <v>0</v>
      </c>
      <c r="Y772">
        <f t="shared" si="77"/>
        <v>0</v>
      </c>
    </row>
    <row r="773" spans="1:25" x14ac:dyDescent="0.35">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c r="T773">
        <f t="shared" si="72"/>
        <v>315.93</v>
      </c>
      <c r="U773">
        <f t="shared" si="73"/>
        <v>47.389499999999998</v>
      </c>
      <c r="V773">
        <f t="shared" si="74"/>
        <v>268.54050000000001</v>
      </c>
      <c r="W773">
        <f t="shared" si="75"/>
        <v>3</v>
      </c>
      <c r="X773">
        <f t="shared" si="76"/>
        <v>-47.389499999999998</v>
      </c>
      <c r="Y773">
        <f t="shared" si="77"/>
        <v>0</v>
      </c>
    </row>
    <row r="774" spans="1:25" x14ac:dyDescent="0.35">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c r="T774">
        <f t="shared" si="72"/>
        <v>2984.8500000000004</v>
      </c>
      <c r="U774">
        <f t="shared" si="73"/>
        <v>0</v>
      </c>
      <c r="V774">
        <f t="shared" si="74"/>
        <v>2984.8500000000004</v>
      </c>
      <c r="W774">
        <f t="shared" si="75"/>
        <v>7</v>
      </c>
      <c r="X774">
        <f t="shared" si="76"/>
        <v>0</v>
      </c>
      <c r="Y774">
        <f t="shared" si="77"/>
        <v>0</v>
      </c>
    </row>
    <row r="775" spans="1:25" x14ac:dyDescent="0.35">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c r="T775">
        <f t="shared" si="72"/>
        <v>6408.66</v>
      </c>
      <c r="U775">
        <f t="shared" si="73"/>
        <v>320.43299999999999</v>
      </c>
      <c r="V775">
        <f t="shared" si="74"/>
        <v>6088.2269999999999</v>
      </c>
      <c r="W775">
        <f t="shared" si="75"/>
        <v>2</v>
      </c>
      <c r="X775">
        <f t="shared" si="76"/>
        <v>-320.43299999999999</v>
      </c>
      <c r="Y775">
        <f t="shared" si="77"/>
        <v>0</v>
      </c>
    </row>
    <row r="776" spans="1:25" x14ac:dyDescent="0.35">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c r="T776">
        <f t="shared" si="72"/>
        <v>1251.8399999999999</v>
      </c>
      <c r="U776">
        <f t="shared" si="73"/>
        <v>125.184</v>
      </c>
      <c r="V776">
        <f t="shared" si="74"/>
        <v>1126.6559999999999</v>
      </c>
      <c r="W776">
        <f t="shared" si="75"/>
        <v>3</v>
      </c>
      <c r="X776">
        <f t="shared" si="76"/>
        <v>-125.18399999999997</v>
      </c>
      <c r="Y776">
        <f t="shared" si="77"/>
        <v>0</v>
      </c>
    </row>
    <row r="777" spans="1:25" x14ac:dyDescent="0.35">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c r="T777">
        <f t="shared" si="72"/>
        <v>2154.7399999999998</v>
      </c>
      <c r="U777">
        <f t="shared" si="73"/>
        <v>0</v>
      </c>
      <c r="V777">
        <f t="shared" si="74"/>
        <v>2154.7399999999998</v>
      </c>
      <c r="W777">
        <f t="shared" si="75"/>
        <v>7</v>
      </c>
      <c r="X777">
        <f t="shared" si="76"/>
        <v>0</v>
      </c>
      <c r="Y777">
        <f t="shared" si="77"/>
        <v>0</v>
      </c>
    </row>
    <row r="778" spans="1:25" x14ac:dyDescent="0.35">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c r="T778">
        <f t="shared" si="72"/>
        <v>4972.24</v>
      </c>
      <c r="U778">
        <f t="shared" si="73"/>
        <v>248.61199999999999</v>
      </c>
      <c r="V778">
        <f t="shared" si="74"/>
        <v>4723.6279999999997</v>
      </c>
      <c r="W778">
        <f t="shared" si="75"/>
        <v>4</v>
      </c>
      <c r="X778">
        <f t="shared" si="76"/>
        <v>-248.61200000000008</v>
      </c>
      <c r="Y778">
        <f t="shared" si="77"/>
        <v>0</v>
      </c>
    </row>
    <row r="779" spans="1:25" x14ac:dyDescent="0.35">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c r="T779">
        <f t="shared" si="72"/>
        <v>1692.27</v>
      </c>
      <c r="U779">
        <f t="shared" si="73"/>
        <v>0</v>
      </c>
      <c r="V779">
        <f t="shared" si="74"/>
        <v>1692.27</v>
      </c>
      <c r="W779">
        <f t="shared" si="75"/>
        <v>2</v>
      </c>
      <c r="X779">
        <f t="shared" si="76"/>
        <v>0</v>
      </c>
      <c r="Y779">
        <f t="shared" si="77"/>
        <v>0</v>
      </c>
    </row>
    <row r="780" spans="1:25" x14ac:dyDescent="0.35">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c r="T780">
        <f t="shared" si="72"/>
        <v>4048.89</v>
      </c>
      <c r="U780">
        <f t="shared" si="73"/>
        <v>607.33349999999996</v>
      </c>
      <c r="V780">
        <f t="shared" si="74"/>
        <v>3441.5564999999997</v>
      </c>
      <c r="W780">
        <f t="shared" si="75"/>
        <v>10</v>
      </c>
      <c r="X780">
        <f t="shared" si="76"/>
        <v>-607.33350000000019</v>
      </c>
      <c r="Y780">
        <f t="shared" si="77"/>
        <v>0</v>
      </c>
    </row>
    <row r="781" spans="1:25" x14ac:dyDescent="0.35">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c r="T781">
        <f t="shared" si="72"/>
        <v>4507.0999999999995</v>
      </c>
      <c r="U781">
        <f t="shared" si="73"/>
        <v>450.71</v>
      </c>
      <c r="V781">
        <f t="shared" si="74"/>
        <v>4056.3899999999994</v>
      </c>
      <c r="W781">
        <f t="shared" si="75"/>
        <v>8</v>
      </c>
      <c r="X781">
        <f t="shared" si="76"/>
        <v>-450.71000000000004</v>
      </c>
      <c r="Y781">
        <f t="shared" si="77"/>
        <v>0</v>
      </c>
    </row>
    <row r="782" spans="1:25" x14ac:dyDescent="0.35">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c r="T782">
        <f t="shared" si="72"/>
        <v>826.72</v>
      </c>
      <c r="U782">
        <f t="shared" si="73"/>
        <v>82.672000000000011</v>
      </c>
      <c r="V782">
        <f t="shared" si="74"/>
        <v>744.048</v>
      </c>
      <c r="W782">
        <f t="shared" si="75"/>
        <v>2</v>
      </c>
      <c r="X782">
        <f t="shared" si="76"/>
        <v>-82.672000000000025</v>
      </c>
      <c r="Y782">
        <f t="shared" si="77"/>
        <v>0</v>
      </c>
    </row>
    <row r="783" spans="1:25" x14ac:dyDescent="0.35">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c r="T783">
        <f t="shared" si="72"/>
        <v>10734.2</v>
      </c>
      <c r="U783">
        <f t="shared" si="73"/>
        <v>1610.13</v>
      </c>
      <c r="V783">
        <f t="shared" si="74"/>
        <v>9124.07</v>
      </c>
      <c r="W783">
        <f t="shared" si="75"/>
        <v>5</v>
      </c>
      <c r="X783">
        <f t="shared" si="76"/>
        <v>-1610.130000000001</v>
      </c>
      <c r="Y783">
        <f t="shared" si="77"/>
        <v>0</v>
      </c>
    </row>
    <row r="784" spans="1:25" x14ac:dyDescent="0.35">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c r="T784">
        <f t="shared" si="72"/>
        <v>1032.0999999999999</v>
      </c>
      <c r="U784">
        <f t="shared" si="73"/>
        <v>51.604999999999997</v>
      </c>
      <c r="V784">
        <f t="shared" si="74"/>
        <v>980.49499999999989</v>
      </c>
      <c r="W784">
        <f t="shared" si="75"/>
        <v>8</v>
      </c>
      <c r="X784">
        <f t="shared" si="76"/>
        <v>-51.605000000000018</v>
      </c>
      <c r="Y784">
        <f t="shared" si="77"/>
        <v>0</v>
      </c>
    </row>
    <row r="785" spans="1:25" x14ac:dyDescent="0.35">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c r="T785">
        <f t="shared" si="72"/>
        <v>1027.32</v>
      </c>
      <c r="U785">
        <f t="shared" si="73"/>
        <v>154.09799999999998</v>
      </c>
      <c r="V785">
        <f t="shared" si="74"/>
        <v>873.22199999999998</v>
      </c>
      <c r="W785">
        <f t="shared" si="75"/>
        <v>8</v>
      </c>
      <c r="X785">
        <f t="shared" si="76"/>
        <v>-154.09799999999996</v>
      </c>
      <c r="Y785">
        <f t="shared" si="77"/>
        <v>0</v>
      </c>
    </row>
    <row r="786" spans="1:25" x14ac:dyDescent="0.35">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c r="T786">
        <f t="shared" si="72"/>
        <v>247.04</v>
      </c>
      <c r="U786">
        <f t="shared" si="73"/>
        <v>0</v>
      </c>
      <c r="V786">
        <f t="shared" si="74"/>
        <v>247.04</v>
      </c>
      <c r="W786">
        <f t="shared" si="75"/>
        <v>5</v>
      </c>
      <c r="X786">
        <f t="shared" si="76"/>
        <v>0</v>
      </c>
      <c r="Y786">
        <f t="shared" si="77"/>
        <v>0</v>
      </c>
    </row>
    <row r="787" spans="1:25" x14ac:dyDescent="0.35">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c r="T787">
        <f t="shared" si="72"/>
        <v>1750.1399999999999</v>
      </c>
      <c r="U787">
        <f t="shared" si="73"/>
        <v>262.52099999999996</v>
      </c>
      <c r="V787">
        <f t="shared" si="74"/>
        <v>1487.6189999999999</v>
      </c>
      <c r="W787">
        <f t="shared" si="75"/>
        <v>9</v>
      </c>
      <c r="X787">
        <f t="shared" si="76"/>
        <v>-262.52099999999996</v>
      </c>
      <c r="Y787">
        <f t="shared" si="77"/>
        <v>0</v>
      </c>
    </row>
    <row r="788" spans="1:25" x14ac:dyDescent="0.35">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c r="T788">
        <f t="shared" si="72"/>
        <v>4437.9399999999996</v>
      </c>
      <c r="U788">
        <f t="shared" si="73"/>
        <v>665.69099999999992</v>
      </c>
      <c r="V788">
        <f t="shared" si="74"/>
        <v>3772.2489999999998</v>
      </c>
      <c r="W788">
        <f t="shared" si="75"/>
        <v>3</v>
      </c>
      <c r="X788">
        <f t="shared" si="76"/>
        <v>-665.6909999999998</v>
      </c>
      <c r="Y788">
        <f t="shared" si="77"/>
        <v>0</v>
      </c>
    </row>
    <row r="789" spans="1:25" x14ac:dyDescent="0.35">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c r="T789">
        <f t="shared" si="72"/>
        <v>5073.57</v>
      </c>
      <c r="U789">
        <f t="shared" si="73"/>
        <v>761.03549999999996</v>
      </c>
      <c r="V789">
        <f t="shared" si="74"/>
        <v>4312.5344999999998</v>
      </c>
      <c r="W789">
        <f t="shared" si="75"/>
        <v>8</v>
      </c>
      <c r="X789">
        <f t="shared" si="76"/>
        <v>-761.03549999999996</v>
      </c>
      <c r="Y789">
        <f t="shared" si="77"/>
        <v>0</v>
      </c>
    </row>
    <row r="790" spans="1:25" x14ac:dyDescent="0.35">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c r="T790">
        <f t="shared" si="72"/>
        <v>543.82999999999993</v>
      </c>
      <c r="U790">
        <f t="shared" si="73"/>
        <v>0</v>
      </c>
      <c r="V790">
        <f t="shared" si="74"/>
        <v>543.82999999999993</v>
      </c>
      <c r="W790">
        <f t="shared" si="75"/>
        <v>7</v>
      </c>
      <c r="X790">
        <f t="shared" si="76"/>
        <v>0</v>
      </c>
      <c r="Y790">
        <f t="shared" si="77"/>
        <v>0</v>
      </c>
    </row>
    <row r="791" spans="1:25" x14ac:dyDescent="0.35">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c r="T791">
        <f t="shared" si="72"/>
        <v>6248.6</v>
      </c>
      <c r="U791">
        <f t="shared" si="73"/>
        <v>0</v>
      </c>
      <c r="V791">
        <f t="shared" si="74"/>
        <v>6248.6</v>
      </c>
      <c r="W791">
        <f t="shared" si="75"/>
        <v>2</v>
      </c>
      <c r="X791">
        <f t="shared" si="76"/>
        <v>0</v>
      </c>
      <c r="Y791">
        <f t="shared" si="77"/>
        <v>0</v>
      </c>
    </row>
    <row r="792" spans="1:25" x14ac:dyDescent="0.35">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c r="T792">
        <f t="shared" si="72"/>
        <v>267.89999999999998</v>
      </c>
      <c r="U792">
        <f t="shared" si="73"/>
        <v>13.395</v>
      </c>
      <c r="V792">
        <f t="shared" si="74"/>
        <v>254.50499999999997</v>
      </c>
      <c r="W792">
        <f t="shared" si="75"/>
        <v>3</v>
      </c>
      <c r="X792">
        <f t="shared" si="76"/>
        <v>-13.39500000000001</v>
      </c>
      <c r="Y792">
        <f t="shared" si="77"/>
        <v>0</v>
      </c>
    </row>
    <row r="793" spans="1:25" x14ac:dyDescent="0.35">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c r="T793">
        <f t="shared" si="72"/>
        <v>4536.1099999999997</v>
      </c>
      <c r="U793">
        <f t="shared" si="73"/>
        <v>226.80549999999999</v>
      </c>
      <c r="V793">
        <f t="shared" si="74"/>
        <v>4309.3044999999993</v>
      </c>
      <c r="W793">
        <f t="shared" si="75"/>
        <v>7</v>
      </c>
      <c r="X793">
        <f t="shared" si="76"/>
        <v>-226.80550000000039</v>
      </c>
      <c r="Y793">
        <f t="shared" si="77"/>
        <v>0</v>
      </c>
    </row>
    <row r="794" spans="1:25" x14ac:dyDescent="0.35">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c r="T794">
        <f t="shared" si="72"/>
        <v>4962.2000000000007</v>
      </c>
      <c r="U794">
        <f t="shared" si="73"/>
        <v>248.11000000000004</v>
      </c>
      <c r="V794">
        <f t="shared" si="74"/>
        <v>4714.0900000000011</v>
      </c>
      <c r="W794">
        <f t="shared" si="75"/>
        <v>5</v>
      </c>
      <c r="X794">
        <f t="shared" si="76"/>
        <v>-248.10999999999967</v>
      </c>
      <c r="Y794">
        <f t="shared" si="77"/>
        <v>0</v>
      </c>
    </row>
    <row r="795" spans="1:25" x14ac:dyDescent="0.35">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c r="T795">
        <f t="shared" si="72"/>
        <v>1583.8</v>
      </c>
      <c r="U795">
        <f t="shared" si="73"/>
        <v>79.19</v>
      </c>
      <c r="V795">
        <f t="shared" si="74"/>
        <v>1504.61</v>
      </c>
      <c r="W795">
        <f t="shared" si="75"/>
        <v>10</v>
      </c>
      <c r="X795">
        <f t="shared" si="76"/>
        <v>-79.190000000000055</v>
      </c>
      <c r="Y795">
        <f t="shared" si="77"/>
        <v>0</v>
      </c>
    </row>
    <row r="796" spans="1:25" x14ac:dyDescent="0.35">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c r="T796">
        <f t="shared" si="72"/>
        <v>339.24</v>
      </c>
      <c r="U796">
        <f t="shared" si="73"/>
        <v>33.923999999999999</v>
      </c>
      <c r="V796">
        <f t="shared" si="74"/>
        <v>305.31600000000003</v>
      </c>
      <c r="W796">
        <f t="shared" si="75"/>
        <v>5</v>
      </c>
      <c r="X796">
        <f t="shared" si="76"/>
        <v>-33.923999999999978</v>
      </c>
      <c r="Y796">
        <f t="shared" si="77"/>
        <v>0</v>
      </c>
    </row>
    <row r="797" spans="1:25" x14ac:dyDescent="0.35">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c r="T797">
        <f t="shared" si="72"/>
        <v>672.22</v>
      </c>
      <c r="U797">
        <f t="shared" si="73"/>
        <v>100.833</v>
      </c>
      <c r="V797">
        <f t="shared" si="74"/>
        <v>571.38700000000006</v>
      </c>
      <c r="W797">
        <f t="shared" si="75"/>
        <v>6</v>
      </c>
      <c r="X797">
        <f t="shared" si="76"/>
        <v>-100.83299999999997</v>
      </c>
      <c r="Y797">
        <f t="shared" si="77"/>
        <v>0</v>
      </c>
    </row>
    <row r="798" spans="1:25" x14ac:dyDescent="0.35">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c r="T798">
        <f t="shared" si="72"/>
        <v>792.24</v>
      </c>
      <c r="U798">
        <f t="shared" si="73"/>
        <v>79.224000000000004</v>
      </c>
      <c r="V798">
        <f t="shared" si="74"/>
        <v>713.01599999999996</v>
      </c>
      <c r="W798">
        <f t="shared" si="75"/>
        <v>9</v>
      </c>
      <c r="X798">
        <f t="shared" si="76"/>
        <v>-79.224000000000046</v>
      </c>
      <c r="Y798">
        <f t="shared" si="77"/>
        <v>0</v>
      </c>
    </row>
    <row r="799" spans="1:25" x14ac:dyDescent="0.35">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c r="T799">
        <f t="shared" si="72"/>
        <v>687.8</v>
      </c>
      <c r="U799">
        <f t="shared" si="73"/>
        <v>103.16999999999999</v>
      </c>
      <c r="V799">
        <f t="shared" si="74"/>
        <v>584.63</v>
      </c>
      <c r="W799">
        <f t="shared" si="75"/>
        <v>7</v>
      </c>
      <c r="X799">
        <f t="shared" si="76"/>
        <v>-103.16999999999996</v>
      </c>
      <c r="Y799">
        <f t="shared" si="77"/>
        <v>0</v>
      </c>
    </row>
    <row r="800" spans="1:25" x14ac:dyDescent="0.35">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c r="T800">
        <f t="shared" si="72"/>
        <v>1263.44</v>
      </c>
      <c r="U800">
        <f t="shared" si="73"/>
        <v>189.51599999999999</v>
      </c>
      <c r="V800">
        <f t="shared" si="74"/>
        <v>1073.924</v>
      </c>
      <c r="W800">
        <f t="shared" si="75"/>
        <v>7</v>
      </c>
      <c r="X800">
        <f t="shared" si="76"/>
        <v>-189.51600000000008</v>
      </c>
      <c r="Y800">
        <f t="shared" si="77"/>
        <v>0</v>
      </c>
    </row>
    <row r="801" spans="1:25" x14ac:dyDescent="0.35">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c r="T801">
        <f t="shared" si="72"/>
        <v>761.16</v>
      </c>
      <c r="U801">
        <f t="shared" si="73"/>
        <v>38.058</v>
      </c>
      <c r="V801">
        <f t="shared" si="74"/>
        <v>723.10199999999998</v>
      </c>
      <c r="W801">
        <f t="shared" si="75"/>
        <v>9</v>
      </c>
      <c r="X801">
        <f t="shared" si="76"/>
        <v>-38.057999999999993</v>
      </c>
      <c r="Y801">
        <f t="shared" si="77"/>
        <v>0</v>
      </c>
    </row>
    <row r="802" spans="1:25" x14ac:dyDescent="0.35">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c r="T802">
        <f t="shared" si="72"/>
        <v>3600.75</v>
      </c>
      <c r="U802">
        <f t="shared" si="73"/>
        <v>180.03750000000002</v>
      </c>
      <c r="V802">
        <f t="shared" si="74"/>
        <v>3420.7125000000001</v>
      </c>
      <c r="W802">
        <f t="shared" si="75"/>
        <v>7</v>
      </c>
      <c r="X802">
        <f t="shared" si="76"/>
        <v>-180.03749999999991</v>
      </c>
      <c r="Y802">
        <f t="shared" si="77"/>
        <v>0</v>
      </c>
    </row>
    <row r="803" spans="1:25" x14ac:dyDescent="0.35">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c r="T803">
        <f t="shared" si="72"/>
        <v>112.89000000000001</v>
      </c>
      <c r="U803">
        <f t="shared" si="73"/>
        <v>11.289000000000001</v>
      </c>
      <c r="V803">
        <f t="shared" si="74"/>
        <v>101.60100000000001</v>
      </c>
      <c r="W803">
        <f t="shared" si="75"/>
        <v>7</v>
      </c>
      <c r="X803">
        <f t="shared" si="76"/>
        <v>-11.289000000000001</v>
      </c>
      <c r="Y803">
        <f t="shared" si="77"/>
        <v>0</v>
      </c>
    </row>
    <row r="804" spans="1:25" x14ac:dyDescent="0.35">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c r="T804">
        <f t="shared" si="72"/>
        <v>5110.3</v>
      </c>
      <c r="U804">
        <f t="shared" si="73"/>
        <v>511.03000000000003</v>
      </c>
      <c r="V804">
        <f t="shared" si="74"/>
        <v>4599.2700000000004</v>
      </c>
      <c r="W804">
        <f t="shared" si="75"/>
        <v>7</v>
      </c>
      <c r="X804">
        <f t="shared" si="76"/>
        <v>-511.02999999999975</v>
      </c>
      <c r="Y804">
        <f t="shared" si="77"/>
        <v>0</v>
      </c>
    </row>
    <row r="805" spans="1:25" x14ac:dyDescent="0.35">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c r="T805">
        <f t="shared" si="72"/>
        <v>838.6</v>
      </c>
      <c r="U805">
        <f t="shared" si="73"/>
        <v>125.78999999999999</v>
      </c>
      <c r="V805">
        <f t="shared" si="74"/>
        <v>712.81000000000006</v>
      </c>
      <c r="W805">
        <f t="shared" si="75"/>
        <v>4</v>
      </c>
      <c r="X805">
        <f t="shared" si="76"/>
        <v>-125.78999999999996</v>
      </c>
      <c r="Y805">
        <f t="shared" si="77"/>
        <v>0</v>
      </c>
    </row>
    <row r="806" spans="1:25" x14ac:dyDescent="0.35">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c r="T806">
        <f t="shared" si="72"/>
        <v>1100.6999999999998</v>
      </c>
      <c r="U806">
        <f t="shared" si="73"/>
        <v>0</v>
      </c>
      <c r="V806">
        <f t="shared" si="74"/>
        <v>1100.6999999999998</v>
      </c>
      <c r="W806">
        <f t="shared" si="75"/>
        <v>8</v>
      </c>
      <c r="X806">
        <f t="shared" si="76"/>
        <v>0</v>
      </c>
      <c r="Y806">
        <f t="shared" si="77"/>
        <v>0</v>
      </c>
    </row>
    <row r="807" spans="1:25" x14ac:dyDescent="0.35">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c r="T807">
        <f t="shared" si="72"/>
        <v>1733.88</v>
      </c>
      <c r="U807">
        <f t="shared" si="73"/>
        <v>260.08199999999999</v>
      </c>
      <c r="V807">
        <f t="shared" si="74"/>
        <v>1473.7980000000002</v>
      </c>
      <c r="W807">
        <f t="shared" si="75"/>
        <v>3</v>
      </c>
      <c r="X807">
        <f t="shared" si="76"/>
        <v>-260.08199999999988</v>
      </c>
      <c r="Y807">
        <f t="shared" si="77"/>
        <v>0</v>
      </c>
    </row>
    <row r="808" spans="1:25" x14ac:dyDescent="0.35">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c r="T808">
        <f t="shared" si="72"/>
        <v>4511.3999999999996</v>
      </c>
      <c r="U808">
        <f t="shared" si="73"/>
        <v>0</v>
      </c>
      <c r="V808">
        <f t="shared" si="74"/>
        <v>4511.3999999999996</v>
      </c>
      <c r="W808">
        <f t="shared" si="75"/>
        <v>10</v>
      </c>
      <c r="X808">
        <f t="shared" si="76"/>
        <v>0</v>
      </c>
      <c r="Y808">
        <f t="shared" si="77"/>
        <v>0</v>
      </c>
    </row>
    <row r="809" spans="1:25" x14ac:dyDescent="0.35">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c r="T809">
        <f t="shared" si="72"/>
        <v>8145.28</v>
      </c>
      <c r="U809">
        <f t="shared" si="73"/>
        <v>0</v>
      </c>
      <c r="V809">
        <f t="shared" si="74"/>
        <v>8145.28</v>
      </c>
      <c r="W809">
        <f t="shared" si="75"/>
        <v>7</v>
      </c>
      <c r="X809">
        <f t="shared" si="76"/>
        <v>0</v>
      </c>
      <c r="Y809">
        <f t="shared" si="77"/>
        <v>0</v>
      </c>
    </row>
    <row r="810" spans="1:25" x14ac:dyDescent="0.35">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c r="T810">
        <f t="shared" si="72"/>
        <v>2330.92</v>
      </c>
      <c r="U810">
        <f t="shared" si="73"/>
        <v>116.54600000000001</v>
      </c>
      <c r="V810">
        <f t="shared" si="74"/>
        <v>2214.3740000000003</v>
      </c>
      <c r="W810">
        <f t="shared" si="75"/>
        <v>3</v>
      </c>
      <c r="X810">
        <f t="shared" si="76"/>
        <v>-116.54599999999982</v>
      </c>
      <c r="Y810">
        <f t="shared" si="77"/>
        <v>0</v>
      </c>
    </row>
    <row r="811" spans="1:25" x14ac:dyDescent="0.35">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c r="T811">
        <f t="shared" si="72"/>
        <v>1037.1599999999999</v>
      </c>
      <c r="U811">
        <f t="shared" si="73"/>
        <v>0</v>
      </c>
      <c r="V811">
        <f t="shared" si="74"/>
        <v>1037.1599999999999</v>
      </c>
      <c r="W811">
        <f t="shared" si="75"/>
        <v>6</v>
      </c>
      <c r="X811">
        <f t="shared" si="76"/>
        <v>0</v>
      </c>
      <c r="Y811">
        <f t="shared" si="77"/>
        <v>0</v>
      </c>
    </row>
    <row r="812" spans="1:25" x14ac:dyDescent="0.35">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c r="T812">
        <f t="shared" si="72"/>
        <v>7916.3000000000011</v>
      </c>
      <c r="U812">
        <f t="shared" si="73"/>
        <v>791.63000000000011</v>
      </c>
      <c r="V812">
        <f t="shared" si="74"/>
        <v>7124.670000000001</v>
      </c>
      <c r="W812">
        <f t="shared" si="75"/>
        <v>9</v>
      </c>
      <c r="X812">
        <f t="shared" si="76"/>
        <v>-791.63000000000011</v>
      </c>
      <c r="Y812">
        <f t="shared" si="77"/>
        <v>0</v>
      </c>
    </row>
    <row r="813" spans="1:25" x14ac:dyDescent="0.35">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c r="T813">
        <f t="shared" si="72"/>
        <v>1336.94</v>
      </c>
      <c r="U813">
        <f t="shared" si="73"/>
        <v>0</v>
      </c>
      <c r="V813">
        <f t="shared" si="74"/>
        <v>1336.94</v>
      </c>
      <c r="W813">
        <f t="shared" si="75"/>
        <v>5</v>
      </c>
      <c r="X813">
        <f t="shared" si="76"/>
        <v>0</v>
      </c>
      <c r="Y813">
        <f t="shared" si="77"/>
        <v>0</v>
      </c>
    </row>
    <row r="814" spans="1:25" x14ac:dyDescent="0.35">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c r="T814">
        <f t="shared" si="72"/>
        <v>1441.3500000000001</v>
      </c>
      <c r="U814">
        <f t="shared" si="73"/>
        <v>144.13500000000002</v>
      </c>
      <c r="V814">
        <f t="shared" si="74"/>
        <v>1297.2150000000001</v>
      </c>
      <c r="W814">
        <f t="shared" si="75"/>
        <v>5</v>
      </c>
      <c r="X814">
        <f t="shared" si="76"/>
        <v>-144.13499999999999</v>
      </c>
      <c r="Y814">
        <f t="shared" si="77"/>
        <v>0</v>
      </c>
    </row>
    <row r="815" spans="1:25" x14ac:dyDescent="0.35">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c r="T815">
        <f t="shared" si="72"/>
        <v>2459.2399999999998</v>
      </c>
      <c r="U815">
        <f t="shared" si="73"/>
        <v>122.96199999999999</v>
      </c>
      <c r="V815">
        <f t="shared" si="74"/>
        <v>2336.2779999999998</v>
      </c>
      <c r="W815">
        <f t="shared" si="75"/>
        <v>8</v>
      </c>
      <c r="X815">
        <f t="shared" si="76"/>
        <v>-122.96199999999999</v>
      </c>
      <c r="Y815">
        <f t="shared" si="77"/>
        <v>0</v>
      </c>
    </row>
    <row r="816" spans="1:25" x14ac:dyDescent="0.35">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c r="T816">
        <f t="shared" si="72"/>
        <v>1313.91</v>
      </c>
      <c r="U816">
        <f t="shared" si="73"/>
        <v>65.69550000000001</v>
      </c>
      <c r="V816">
        <f t="shared" si="74"/>
        <v>1248.2145</v>
      </c>
      <c r="W816">
        <f t="shared" si="75"/>
        <v>7</v>
      </c>
      <c r="X816">
        <f t="shared" si="76"/>
        <v>-65.695500000000038</v>
      </c>
      <c r="Y816">
        <f t="shared" si="77"/>
        <v>0</v>
      </c>
    </row>
    <row r="817" spans="1:25" x14ac:dyDescent="0.35">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c r="T817">
        <f t="shared" si="72"/>
        <v>4939.08</v>
      </c>
      <c r="U817">
        <f t="shared" si="73"/>
        <v>740.86199999999997</v>
      </c>
      <c r="V817">
        <f t="shared" si="74"/>
        <v>4198.2179999999998</v>
      </c>
      <c r="W817">
        <f t="shared" si="75"/>
        <v>8</v>
      </c>
      <c r="X817">
        <f t="shared" si="76"/>
        <v>-740.86200000000008</v>
      </c>
      <c r="Y817">
        <f t="shared" si="77"/>
        <v>0</v>
      </c>
    </row>
    <row r="818" spans="1:25" x14ac:dyDescent="0.35">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c r="T818">
        <f t="shared" si="72"/>
        <v>163.29</v>
      </c>
      <c r="U818">
        <f t="shared" si="73"/>
        <v>0</v>
      </c>
      <c r="V818">
        <f t="shared" si="74"/>
        <v>163.29</v>
      </c>
      <c r="W818">
        <f t="shared" si="75"/>
        <v>9</v>
      </c>
      <c r="X818">
        <f t="shared" si="76"/>
        <v>0</v>
      </c>
      <c r="Y818">
        <f t="shared" si="77"/>
        <v>0</v>
      </c>
    </row>
    <row r="819" spans="1:25" x14ac:dyDescent="0.35">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c r="T819">
        <f t="shared" si="72"/>
        <v>2692.6</v>
      </c>
      <c r="U819">
        <f t="shared" si="73"/>
        <v>134.63</v>
      </c>
      <c r="V819">
        <f t="shared" si="74"/>
        <v>2557.9699999999998</v>
      </c>
      <c r="W819">
        <f t="shared" si="75"/>
        <v>6</v>
      </c>
      <c r="X819">
        <f t="shared" si="76"/>
        <v>-134.63000000000011</v>
      </c>
      <c r="Y819">
        <f t="shared" si="77"/>
        <v>0</v>
      </c>
    </row>
    <row r="820" spans="1:25" x14ac:dyDescent="0.35">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c r="T820">
        <f t="shared" si="72"/>
        <v>2815.45</v>
      </c>
      <c r="U820">
        <f t="shared" si="73"/>
        <v>281.54500000000002</v>
      </c>
      <c r="V820">
        <f t="shared" si="74"/>
        <v>2533.9049999999997</v>
      </c>
      <c r="W820">
        <f t="shared" si="75"/>
        <v>5</v>
      </c>
      <c r="X820">
        <f t="shared" si="76"/>
        <v>-281.54500000000007</v>
      </c>
      <c r="Y820">
        <f t="shared" si="77"/>
        <v>0</v>
      </c>
    </row>
    <row r="821" spans="1:25" x14ac:dyDescent="0.35">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c r="T821">
        <f t="shared" si="72"/>
        <v>2031.5400000000002</v>
      </c>
      <c r="U821">
        <f t="shared" si="73"/>
        <v>203.15400000000002</v>
      </c>
      <c r="V821">
        <f t="shared" si="74"/>
        <v>1828.3860000000002</v>
      </c>
      <c r="W821">
        <f t="shared" si="75"/>
        <v>8</v>
      </c>
      <c r="X821">
        <f t="shared" si="76"/>
        <v>-203.154</v>
      </c>
      <c r="Y821">
        <f t="shared" si="77"/>
        <v>0</v>
      </c>
    </row>
    <row r="822" spans="1:25" x14ac:dyDescent="0.35">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c r="T822">
        <f t="shared" si="72"/>
        <v>3979</v>
      </c>
      <c r="U822">
        <f t="shared" si="73"/>
        <v>397.90000000000003</v>
      </c>
      <c r="V822">
        <f t="shared" si="74"/>
        <v>3581.1</v>
      </c>
      <c r="W822">
        <f t="shared" si="75"/>
        <v>2</v>
      </c>
      <c r="X822">
        <f t="shared" si="76"/>
        <v>-397.90000000000009</v>
      </c>
      <c r="Y822">
        <f t="shared" si="77"/>
        <v>0</v>
      </c>
    </row>
    <row r="823" spans="1:25" x14ac:dyDescent="0.35">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c r="T823">
        <f t="shared" si="72"/>
        <v>6348.1</v>
      </c>
      <c r="U823">
        <f t="shared" si="73"/>
        <v>952.21500000000003</v>
      </c>
      <c r="V823">
        <f t="shared" si="74"/>
        <v>5395.8850000000002</v>
      </c>
      <c r="W823">
        <f t="shared" si="75"/>
        <v>7</v>
      </c>
      <c r="X823">
        <f t="shared" si="76"/>
        <v>-952.21500000000015</v>
      </c>
      <c r="Y823">
        <f t="shared" si="77"/>
        <v>0</v>
      </c>
    </row>
    <row r="824" spans="1:25" x14ac:dyDescent="0.35">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c r="T824">
        <f t="shared" si="72"/>
        <v>501</v>
      </c>
      <c r="U824">
        <f t="shared" si="73"/>
        <v>50.1</v>
      </c>
      <c r="V824">
        <f t="shared" si="74"/>
        <v>450.9</v>
      </c>
      <c r="W824">
        <f t="shared" si="75"/>
        <v>7</v>
      </c>
      <c r="X824">
        <f t="shared" si="76"/>
        <v>-50.100000000000023</v>
      </c>
      <c r="Y824">
        <f t="shared" si="77"/>
        <v>0</v>
      </c>
    </row>
    <row r="825" spans="1:25" x14ac:dyDescent="0.35">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c r="T825">
        <f t="shared" si="72"/>
        <v>10535.5</v>
      </c>
      <c r="U825">
        <f t="shared" si="73"/>
        <v>1580.325</v>
      </c>
      <c r="V825">
        <f t="shared" si="74"/>
        <v>8955.1749999999993</v>
      </c>
      <c r="W825">
        <f t="shared" si="75"/>
        <v>4</v>
      </c>
      <c r="X825">
        <f t="shared" si="76"/>
        <v>-1580.3250000000007</v>
      </c>
      <c r="Y825">
        <f t="shared" si="77"/>
        <v>0</v>
      </c>
    </row>
    <row r="826" spans="1:25" x14ac:dyDescent="0.35">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c r="T826">
        <f t="shared" si="72"/>
        <v>1642.3400000000001</v>
      </c>
      <c r="U826">
        <f t="shared" si="73"/>
        <v>0</v>
      </c>
      <c r="V826">
        <f t="shared" si="74"/>
        <v>1642.3400000000001</v>
      </c>
      <c r="W826">
        <f t="shared" si="75"/>
        <v>3</v>
      </c>
      <c r="X826">
        <f t="shared" si="76"/>
        <v>0</v>
      </c>
      <c r="Y826">
        <f t="shared" si="77"/>
        <v>0</v>
      </c>
    </row>
    <row r="827" spans="1:25" x14ac:dyDescent="0.35">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c r="T827">
        <f t="shared" si="72"/>
        <v>581.93999999999994</v>
      </c>
      <c r="U827">
        <f t="shared" si="73"/>
        <v>0</v>
      </c>
      <c r="V827">
        <f t="shared" si="74"/>
        <v>581.93999999999994</v>
      </c>
      <c r="W827">
        <f t="shared" si="75"/>
        <v>4</v>
      </c>
      <c r="X827">
        <f t="shared" si="76"/>
        <v>0</v>
      </c>
      <c r="Y827">
        <f t="shared" si="77"/>
        <v>0</v>
      </c>
    </row>
    <row r="828" spans="1:25" x14ac:dyDescent="0.35">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c r="T828">
        <f t="shared" si="72"/>
        <v>7737.2000000000007</v>
      </c>
      <c r="U828">
        <f t="shared" si="73"/>
        <v>386.86000000000007</v>
      </c>
      <c r="V828">
        <f t="shared" si="74"/>
        <v>7350.3400000000011</v>
      </c>
      <c r="W828">
        <f t="shared" si="75"/>
        <v>5</v>
      </c>
      <c r="X828">
        <f t="shared" si="76"/>
        <v>-386.85999999999967</v>
      </c>
      <c r="Y828">
        <f t="shared" si="77"/>
        <v>0</v>
      </c>
    </row>
    <row r="829" spans="1:25" x14ac:dyDescent="0.35">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c r="T829">
        <f t="shared" si="72"/>
        <v>975.96</v>
      </c>
      <c r="U829">
        <f t="shared" si="73"/>
        <v>0</v>
      </c>
      <c r="V829">
        <f t="shared" si="74"/>
        <v>975.96</v>
      </c>
      <c r="W829">
        <f t="shared" si="75"/>
        <v>4</v>
      </c>
      <c r="X829">
        <f t="shared" si="76"/>
        <v>0</v>
      </c>
      <c r="Y829">
        <f t="shared" si="77"/>
        <v>0</v>
      </c>
    </row>
    <row r="830" spans="1:25" x14ac:dyDescent="0.35">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c r="T830">
        <f t="shared" si="72"/>
        <v>2753.25</v>
      </c>
      <c r="U830">
        <f t="shared" si="73"/>
        <v>412.98750000000001</v>
      </c>
      <c r="V830">
        <f t="shared" si="74"/>
        <v>2340.2624999999998</v>
      </c>
      <c r="W830">
        <f t="shared" si="75"/>
        <v>7</v>
      </c>
      <c r="X830">
        <f t="shared" si="76"/>
        <v>-412.98750000000018</v>
      </c>
      <c r="Y830">
        <f t="shared" si="77"/>
        <v>0</v>
      </c>
    </row>
    <row r="831" spans="1:25" x14ac:dyDescent="0.35">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c r="T831">
        <f t="shared" si="72"/>
        <v>1895.64</v>
      </c>
      <c r="U831">
        <f t="shared" si="73"/>
        <v>94.782000000000011</v>
      </c>
      <c r="V831">
        <f t="shared" si="74"/>
        <v>1800.8580000000002</v>
      </c>
      <c r="W831">
        <f t="shared" si="75"/>
        <v>8</v>
      </c>
      <c r="X831">
        <f t="shared" si="76"/>
        <v>-94.781999999999925</v>
      </c>
      <c r="Y831">
        <f t="shared" si="77"/>
        <v>0</v>
      </c>
    </row>
    <row r="832" spans="1:25" x14ac:dyDescent="0.35">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c r="T832">
        <f t="shared" si="72"/>
        <v>479.17999999999995</v>
      </c>
      <c r="U832">
        <f t="shared" si="73"/>
        <v>0</v>
      </c>
      <c r="V832">
        <f t="shared" si="74"/>
        <v>479.17999999999995</v>
      </c>
      <c r="W832">
        <f t="shared" si="75"/>
        <v>4</v>
      </c>
      <c r="X832">
        <f t="shared" si="76"/>
        <v>0</v>
      </c>
      <c r="Y832">
        <f t="shared" si="77"/>
        <v>0</v>
      </c>
    </row>
    <row r="833" spans="1:25" x14ac:dyDescent="0.35">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c r="T833">
        <f t="shared" si="72"/>
        <v>874.08</v>
      </c>
      <c r="U833">
        <f t="shared" si="73"/>
        <v>0</v>
      </c>
      <c r="V833">
        <f t="shared" si="74"/>
        <v>874.08</v>
      </c>
      <c r="W833">
        <f t="shared" si="75"/>
        <v>7</v>
      </c>
      <c r="X833">
        <f t="shared" si="76"/>
        <v>0</v>
      </c>
      <c r="Y833">
        <f t="shared" si="77"/>
        <v>0</v>
      </c>
    </row>
    <row r="834" spans="1:25" x14ac:dyDescent="0.35">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c r="T834">
        <f t="shared" si="72"/>
        <v>2244.3000000000002</v>
      </c>
      <c r="U834">
        <f t="shared" si="73"/>
        <v>336.64500000000004</v>
      </c>
      <c r="V834">
        <f t="shared" si="74"/>
        <v>1907.6550000000002</v>
      </c>
      <c r="W834">
        <f t="shared" si="75"/>
        <v>9</v>
      </c>
      <c r="X834">
        <f t="shared" si="76"/>
        <v>-336.64499999999998</v>
      </c>
      <c r="Y834">
        <f t="shared" si="77"/>
        <v>0</v>
      </c>
    </row>
    <row r="835" spans="1:25" x14ac:dyDescent="0.35">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c r="T835">
        <f t="shared" ref="T835:T898" si="78">D835*E835</f>
        <v>4199.16</v>
      </c>
      <c r="U835">
        <f t="shared" ref="U835:U898" si="79">T835*H835</f>
        <v>0</v>
      </c>
      <c r="V835">
        <f t="shared" ref="V835:V898" si="80">T835-U835</f>
        <v>4199.16</v>
      </c>
      <c r="W835">
        <f t="shared" ref="W835:W898" si="81">R835-Q835</f>
        <v>9</v>
      </c>
      <c r="X835">
        <f t="shared" ref="X835:X898" si="82">V835-(E835*D835)</f>
        <v>0</v>
      </c>
      <c r="Y835">
        <f t="shared" ref="Y835:Y898" si="83">IF(M835 = "Yes", -V835,0)</f>
        <v>0</v>
      </c>
    </row>
    <row r="836" spans="1:25" x14ac:dyDescent="0.35">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c r="T836">
        <f t="shared" si="78"/>
        <v>1793.44</v>
      </c>
      <c r="U836">
        <f t="shared" si="79"/>
        <v>269.01600000000002</v>
      </c>
      <c r="V836">
        <f t="shared" si="80"/>
        <v>1524.424</v>
      </c>
      <c r="W836">
        <f t="shared" si="81"/>
        <v>6</v>
      </c>
      <c r="X836">
        <f t="shared" si="82"/>
        <v>-269.01600000000008</v>
      </c>
      <c r="Y836">
        <f t="shared" si="83"/>
        <v>0</v>
      </c>
    </row>
    <row r="837" spans="1:25" x14ac:dyDescent="0.35">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c r="T837">
        <f t="shared" si="78"/>
        <v>1966.1399999999999</v>
      </c>
      <c r="U837">
        <f t="shared" si="79"/>
        <v>98.307000000000002</v>
      </c>
      <c r="V837">
        <f t="shared" si="80"/>
        <v>1867.8329999999999</v>
      </c>
      <c r="W837">
        <f t="shared" si="81"/>
        <v>4</v>
      </c>
      <c r="X837">
        <f t="shared" si="82"/>
        <v>-98.307000000000016</v>
      </c>
      <c r="Y837">
        <f t="shared" si="83"/>
        <v>0</v>
      </c>
    </row>
    <row r="838" spans="1:25" x14ac:dyDescent="0.35">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c r="T838">
        <f t="shared" si="78"/>
        <v>3458.16</v>
      </c>
      <c r="U838">
        <f t="shared" si="79"/>
        <v>172.90800000000002</v>
      </c>
      <c r="V838">
        <f t="shared" si="80"/>
        <v>3285.252</v>
      </c>
      <c r="W838">
        <f t="shared" si="81"/>
        <v>2</v>
      </c>
      <c r="X838">
        <f t="shared" si="82"/>
        <v>-172.9079999999999</v>
      </c>
      <c r="Y838">
        <f t="shared" si="83"/>
        <v>0</v>
      </c>
    </row>
    <row r="839" spans="1:25" x14ac:dyDescent="0.35">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c r="T839">
        <f t="shared" si="78"/>
        <v>999.92</v>
      </c>
      <c r="U839">
        <f t="shared" si="79"/>
        <v>149.988</v>
      </c>
      <c r="V839">
        <f t="shared" si="80"/>
        <v>849.93200000000002</v>
      </c>
      <c r="W839">
        <f t="shared" si="81"/>
        <v>3</v>
      </c>
      <c r="X839">
        <f t="shared" si="82"/>
        <v>-149.98799999999994</v>
      </c>
      <c r="Y839">
        <f t="shared" si="83"/>
        <v>0</v>
      </c>
    </row>
    <row r="840" spans="1:25" x14ac:dyDescent="0.35">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c r="T840">
        <f t="shared" si="78"/>
        <v>2720.34</v>
      </c>
      <c r="U840">
        <f t="shared" si="79"/>
        <v>408.05099999999999</v>
      </c>
      <c r="V840">
        <f t="shared" si="80"/>
        <v>2312.2890000000002</v>
      </c>
      <c r="W840">
        <f t="shared" si="81"/>
        <v>7</v>
      </c>
      <c r="X840">
        <f t="shared" si="82"/>
        <v>-408.05099999999993</v>
      </c>
      <c r="Y840">
        <f t="shared" si="83"/>
        <v>0</v>
      </c>
    </row>
    <row r="841" spans="1:25" x14ac:dyDescent="0.35">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c r="T841">
        <f t="shared" si="78"/>
        <v>346.45000000000005</v>
      </c>
      <c r="U841">
        <f t="shared" si="79"/>
        <v>0</v>
      </c>
      <c r="V841">
        <f t="shared" si="80"/>
        <v>346.45000000000005</v>
      </c>
      <c r="W841">
        <f t="shared" si="81"/>
        <v>8</v>
      </c>
      <c r="X841">
        <f t="shared" si="82"/>
        <v>0</v>
      </c>
      <c r="Y841">
        <f t="shared" si="83"/>
        <v>0</v>
      </c>
    </row>
    <row r="842" spans="1:25" x14ac:dyDescent="0.35">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c r="T842">
        <f t="shared" si="78"/>
        <v>4603.6500000000005</v>
      </c>
      <c r="U842">
        <f t="shared" si="79"/>
        <v>0</v>
      </c>
      <c r="V842">
        <f t="shared" si="80"/>
        <v>4603.6500000000005</v>
      </c>
      <c r="W842">
        <f t="shared" si="81"/>
        <v>4</v>
      </c>
      <c r="X842">
        <f t="shared" si="82"/>
        <v>0</v>
      </c>
      <c r="Y842">
        <f t="shared" si="83"/>
        <v>0</v>
      </c>
    </row>
    <row r="843" spans="1:25" x14ac:dyDescent="0.35">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c r="T843">
        <f t="shared" si="78"/>
        <v>1561.2</v>
      </c>
      <c r="U843">
        <f t="shared" si="79"/>
        <v>234.18</v>
      </c>
      <c r="V843">
        <f t="shared" si="80"/>
        <v>1327.02</v>
      </c>
      <c r="W843">
        <f t="shared" si="81"/>
        <v>5</v>
      </c>
      <c r="X843">
        <f t="shared" si="82"/>
        <v>-234.18000000000006</v>
      </c>
      <c r="Y843">
        <f t="shared" si="83"/>
        <v>0</v>
      </c>
    </row>
    <row r="844" spans="1:25" x14ac:dyDescent="0.35">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c r="T844">
        <f t="shared" si="78"/>
        <v>432.81</v>
      </c>
      <c r="U844">
        <f t="shared" si="79"/>
        <v>0</v>
      </c>
      <c r="V844">
        <f t="shared" si="80"/>
        <v>432.81</v>
      </c>
      <c r="W844">
        <f t="shared" si="81"/>
        <v>2</v>
      </c>
      <c r="X844">
        <f t="shared" si="82"/>
        <v>0</v>
      </c>
      <c r="Y844">
        <f t="shared" si="83"/>
        <v>0</v>
      </c>
    </row>
    <row r="845" spans="1:25" x14ac:dyDescent="0.35">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c r="T845">
        <f t="shared" si="78"/>
        <v>583.24</v>
      </c>
      <c r="U845">
        <f t="shared" si="79"/>
        <v>29.162000000000003</v>
      </c>
      <c r="V845">
        <f t="shared" si="80"/>
        <v>554.07799999999997</v>
      </c>
      <c r="W845">
        <f t="shared" si="81"/>
        <v>8</v>
      </c>
      <c r="X845">
        <f t="shared" si="82"/>
        <v>-29.162000000000035</v>
      </c>
      <c r="Y845">
        <f t="shared" si="83"/>
        <v>0</v>
      </c>
    </row>
    <row r="846" spans="1:25" x14ac:dyDescent="0.35">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c r="T846">
        <f t="shared" si="78"/>
        <v>2252.2399999999998</v>
      </c>
      <c r="U846">
        <f t="shared" si="79"/>
        <v>112.61199999999999</v>
      </c>
      <c r="V846">
        <f t="shared" si="80"/>
        <v>2139.6279999999997</v>
      </c>
      <c r="W846">
        <f t="shared" si="81"/>
        <v>4</v>
      </c>
      <c r="X846">
        <f t="shared" si="82"/>
        <v>-112.61200000000008</v>
      </c>
      <c r="Y846">
        <f t="shared" si="83"/>
        <v>0</v>
      </c>
    </row>
    <row r="847" spans="1:25" x14ac:dyDescent="0.35">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c r="T847">
        <f t="shared" si="78"/>
        <v>3332.55</v>
      </c>
      <c r="U847">
        <f t="shared" si="79"/>
        <v>499.88249999999999</v>
      </c>
      <c r="V847">
        <f t="shared" si="80"/>
        <v>2832.6675</v>
      </c>
      <c r="W847">
        <f t="shared" si="81"/>
        <v>2</v>
      </c>
      <c r="X847">
        <f t="shared" si="82"/>
        <v>-499.88250000000016</v>
      </c>
      <c r="Y847">
        <f t="shared" si="83"/>
        <v>0</v>
      </c>
    </row>
    <row r="848" spans="1:25" x14ac:dyDescent="0.35">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c r="T848">
        <f t="shared" si="78"/>
        <v>2729.34</v>
      </c>
      <c r="U848">
        <f t="shared" si="79"/>
        <v>136.46700000000001</v>
      </c>
      <c r="V848">
        <f t="shared" si="80"/>
        <v>2592.873</v>
      </c>
      <c r="W848">
        <f t="shared" si="81"/>
        <v>3</v>
      </c>
      <c r="X848">
        <f t="shared" si="82"/>
        <v>-136.4670000000001</v>
      </c>
      <c r="Y848">
        <f t="shared" si="83"/>
        <v>0</v>
      </c>
    </row>
    <row r="849" spans="1:25" x14ac:dyDescent="0.35">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c r="T849">
        <f t="shared" si="78"/>
        <v>3964.32</v>
      </c>
      <c r="U849">
        <f t="shared" si="79"/>
        <v>594.64800000000002</v>
      </c>
      <c r="V849">
        <f t="shared" si="80"/>
        <v>3369.672</v>
      </c>
      <c r="W849">
        <f t="shared" si="81"/>
        <v>5</v>
      </c>
      <c r="X849">
        <f t="shared" si="82"/>
        <v>-594.64800000000014</v>
      </c>
      <c r="Y849">
        <f t="shared" si="83"/>
        <v>0</v>
      </c>
    </row>
    <row r="850" spans="1:25" x14ac:dyDescent="0.35">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c r="T850">
        <f t="shared" si="78"/>
        <v>7977.25</v>
      </c>
      <c r="U850">
        <f t="shared" si="79"/>
        <v>398.86250000000001</v>
      </c>
      <c r="V850">
        <f t="shared" si="80"/>
        <v>7578.3874999999998</v>
      </c>
      <c r="W850">
        <f t="shared" si="81"/>
        <v>6</v>
      </c>
      <c r="X850">
        <f t="shared" si="82"/>
        <v>-398.86250000000018</v>
      </c>
      <c r="Y850">
        <f t="shared" si="83"/>
        <v>0</v>
      </c>
    </row>
    <row r="851" spans="1:25" x14ac:dyDescent="0.35">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c r="T851">
        <f t="shared" si="78"/>
        <v>8851.68</v>
      </c>
      <c r="U851">
        <f t="shared" si="79"/>
        <v>1327.752</v>
      </c>
      <c r="V851">
        <f t="shared" si="80"/>
        <v>7523.9279999999999</v>
      </c>
      <c r="W851">
        <f t="shared" si="81"/>
        <v>7</v>
      </c>
      <c r="X851">
        <f t="shared" si="82"/>
        <v>-1327.7520000000004</v>
      </c>
      <c r="Y851">
        <f t="shared" si="83"/>
        <v>0</v>
      </c>
    </row>
    <row r="852" spans="1:25" x14ac:dyDescent="0.35">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c r="T852">
        <f t="shared" si="78"/>
        <v>8840.1299999999992</v>
      </c>
      <c r="U852">
        <f t="shared" si="79"/>
        <v>442.00649999999996</v>
      </c>
      <c r="V852">
        <f t="shared" si="80"/>
        <v>8398.1234999999997</v>
      </c>
      <c r="W852">
        <f t="shared" si="81"/>
        <v>2</v>
      </c>
      <c r="X852">
        <f t="shared" si="82"/>
        <v>-442.00649999999951</v>
      </c>
      <c r="Y852">
        <f t="shared" si="83"/>
        <v>0</v>
      </c>
    </row>
    <row r="853" spans="1:25" x14ac:dyDescent="0.35">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c r="T853">
        <f t="shared" si="78"/>
        <v>6186.24</v>
      </c>
      <c r="U853">
        <f t="shared" si="79"/>
        <v>0</v>
      </c>
      <c r="V853">
        <f t="shared" si="80"/>
        <v>6186.24</v>
      </c>
      <c r="W853">
        <f t="shared" si="81"/>
        <v>8</v>
      </c>
      <c r="X853">
        <f t="shared" si="82"/>
        <v>0</v>
      </c>
      <c r="Y853">
        <f t="shared" si="83"/>
        <v>0</v>
      </c>
    </row>
    <row r="854" spans="1:25" x14ac:dyDescent="0.35">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c r="T854">
        <f t="shared" si="78"/>
        <v>6615.1399999999994</v>
      </c>
      <c r="U854">
        <f t="shared" si="79"/>
        <v>330.75700000000001</v>
      </c>
      <c r="V854">
        <f t="shared" si="80"/>
        <v>6284.3829999999998</v>
      </c>
      <c r="W854">
        <f t="shared" si="81"/>
        <v>5</v>
      </c>
      <c r="X854">
        <f t="shared" si="82"/>
        <v>-330.75699999999961</v>
      </c>
      <c r="Y854">
        <f t="shared" si="83"/>
        <v>0</v>
      </c>
    </row>
    <row r="855" spans="1:25" x14ac:dyDescent="0.35">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c r="T855">
        <f t="shared" si="78"/>
        <v>2850.4</v>
      </c>
      <c r="U855">
        <f t="shared" si="79"/>
        <v>285.04000000000002</v>
      </c>
      <c r="V855">
        <f t="shared" si="80"/>
        <v>2565.36</v>
      </c>
      <c r="W855">
        <f t="shared" si="81"/>
        <v>5</v>
      </c>
      <c r="X855">
        <f t="shared" si="82"/>
        <v>-285.03999999999996</v>
      </c>
      <c r="Y855">
        <f t="shared" si="83"/>
        <v>0</v>
      </c>
    </row>
    <row r="856" spans="1:25" x14ac:dyDescent="0.35">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c r="T856">
        <f t="shared" si="78"/>
        <v>31.42</v>
      </c>
      <c r="U856">
        <f t="shared" si="79"/>
        <v>1.5710000000000002</v>
      </c>
      <c r="V856">
        <f t="shared" si="80"/>
        <v>29.849</v>
      </c>
      <c r="W856">
        <f t="shared" si="81"/>
        <v>8</v>
      </c>
      <c r="X856">
        <f t="shared" si="82"/>
        <v>-1.5710000000000015</v>
      </c>
      <c r="Y856">
        <f t="shared" si="83"/>
        <v>0</v>
      </c>
    </row>
    <row r="857" spans="1:25" x14ac:dyDescent="0.35">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c r="T857">
        <f t="shared" si="78"/>
        <v>9728.93</v>
      </c>
      <c r="U857">
        <f t="shared" si="79"/>
        <v>1459.3395</v>
      </c>
      <c r="V857">
        <f t="shared" si="80"/>
        <v>8269.5905000000002</v>
      </c>
      <c r="W857">
        <f t="shared" si="81"/>
        <v>4</v>
      </c>
      <c r="X857">
        <f t="shared" si="82"/>
        <v>-1459.3395</v>
      </c>
      <c r="Y857">
        <f t="shared" si="83"/>
        <v>0</v>
      </c>
    </row>
    <row r="858" spans="1:25" x14ac:dyDescent="0.35">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c r="T858">
        <f t="shared" si="78"/>
        <v>6004.8</v>
      </c>
      <c r="U858">
        <f t="shared" si="79"/>
        <v>600.48</v>
      </c>
      <c r="V858">
        <f t="shared" si="80"/>
        <v>5404.32</v>
      </c>
      <c r="W858">
        <f t="shared" si="81"/>
        <v>2</v>
      </c>
      <c r="X858">
        <f t="shared" si="82"/>
        <v>-600.48000000000047</v>
      </c>
      <c r="Y858">
        <f t="shared" si="83"/>
        <v>0</v>
      </c>
    </row>
    <row r="859" spans="1:25" x14ac:dyDescent="0.35">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c r="T859">
        <f t="shared" si="78"/>
        <v>817.83</v>
      </c>
      <c r="U859">
        <f t="shared" si="79"/>
        <v>122.67449999999999</v>
      </c>
      <c r="V859">
        <f t="shared" si="80"/>
        <v>695.15550000000007</v>
      </c>
      <c r="W859">
        <f t="shared" si="81"/>
        <v>9</v>
      </c>
      <c r="X859">
        <f t="shared" si="82"/>
        <v>-122.67449999999997</v>
      </c>
      <c r="Y859">
        <f t="shared" si="83"/>
        <v>0</v>
      </c>
    </row>
    <row r="860" spans="1:25" x14ac:dyDescent="0.35">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c r="T860">
        <f t="shared" si="78"/>
        <v>5297.31</v>
      </c>
      <c r="U860">
        <f t="shared" si="79"/>
        <v>264.86550000000005</v>
      </c>
      <c r="V860">
        <f t="shared" si="80"/>
        <v>5032.4445000000005</v>
      </c>
      <c r="W860">
        <f t="shared" si="81"/>
        <v>2</v>
      </c>
      <c r="X860">
        <f t="shared" si="82"/>
        <v>-264.86549999999988</v>
      </c>
      <c r="Y860">
        <f t="shared" si="83"/>
        <v>0</v>
      </c>
    </row>
    <row r="861" spans="1:25" x14ac:dyDescent="0.35">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c r="T861">
        <f t="shared" si="78"/>
        <v>2759.04</v>
      </c>
      <c r="U861">
        <f t="shared" si="79"/>
        <v>137.952</v>
      </c>
      <c r="V861">
        <f t="shared" si="80"/>
        <v>2621.0879999999997</v>
      </c>
      <c r="W861">
        <f t="shared" si="81"/>
        <v>5</v>
      </c>
      <c r="X861">
        <f t="shared" si="82"/>
        <v>-137.95200000000023</v>
      </c>
      <c r="Y861">
        <f t="shared" si="83"/>
        <v>0</v>
      </c>
    </row>
    <row r="862" spans="1:25" x14ac:dyDescent="0.35">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c r="T862">
        <f t="shared" si="78"/>
        <v>3314.49</v>
      </c>
      <c r="U862">
        <f t="shared" si="79"/>
        <v>497.17349999999993</v>
      </c>
      <c r="V862">
        <f t="shared" si="80"/>
        <v>2817.3164999999999</v>
      </c>
      <c r="W862">
        <f t="shared" si="81"/>
        <v>8</v>
      </c>
      <c r="X862">
        <f t="shared" si="82"/>
        <v>-497.17349999999988</v>
      </c>
      <c r="Y862">
        <f t="shared" si="83"/>
        <v>0</v>
      </c>
    </row>
    <row r="863" spans="1:25" x14ac:dyDescent="0.35">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c r="T863">
        <f t="shared" si="78"/>
        <v>1838.0500000000002</v>
      </c>
      <c r="U863">
        <f t="shared" si="79"/>
        <v>0</v>
      </c>
      <c r="V863">
        <f t="shared" si="80"/>
        <v>1838.0500000000002</v>
      </c>
      <c r="W863">
        <f t="shared" si="81"/>
        <v>8</v>
      </c>
      <c r="X863">
        <f t="shared" si="82"/>
        <v>0</v>
      </c>
      <c r="Y863">
        <f t="shared" si="83"/>
        <v>0</v>
      </c>
    </row>
    <row r="864" spans="1:25" x14ac:dyDescent="0.35">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c r="T864">
        <f t="shared" si="78"/>
        <v>9783.5</v>
      </c>
      <c r="U864">
        <f t="shared" si="79"/>
        <v>489.17500000000001</v>
      </c>
      <c r="V864">
        <f t="shared" si="80"/>
        <v>9294.3250000000007</v>
      </c>
      <c r="W864">
        <f t="shared" si="81"/>
        <v>7</v>
      </c>
      <c r="X864">
        <f t="shared" si="82"/>
        <v>-489.17499999999927</v>
      </c>
      <c r="Y864">
        <f t="shared" si="83"/>
        <v>0</v>
      </c>
    </row>
    <row r="865" spans="1:25" x14ac:dyDescent="0.35">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c r="T865">
        <f t="shared" si="78"/>
        <v>688.34999999999991</v>
      </c>
      <c r="U865">
        <f t="shared" si="79"/>
        <v>103.25249999999998</v>
      </c>
      <c r="V865">
        <f t="shared" si="80"/>
        <v>585.09749999999997</v>
      </c>
      <c r="W865">
        <f t="shared" si="81"/>
        <v>3</v>
      </c>
      <c r="X865">
        <f t="shared" si="82"/>
        <v>-103.25249999999994</v>
      </c>
      <c r="Y865">
        <f t="shared" si="83"/>
        <v>0</v>
      </c>
    </row>
    <row r="866" spans="1:25" x14ac:dyDescent="0.35">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c r="T866">
        <f t="shared" si="78"/>
        <v>1174.8899999999999</v>
      </c>
      <c r="U866">
        <f t="shared" si="79"/>
        <v>0</v>
      </c>
      <c r="V866">
        <f t="shared" si="80"/>
        <v>1174.8899999999999</v>
      </c>
      <c r="W866">
        <f t="shared" si="81"/>
        <v>3</v>
      </c>
      <c r="X866">
        <f t="shared" si="82"/>
        <v>0</v>
      </c>
      <c r="Y866">
        <f t="shared" si="83"/>
        <v>0</v>
      </c>
    </row>
    <row r="867" spans="1:25" x14ac:dyDescent="0.35">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c r="T867">
        <f t="shared" si="78"/>
        <v>1010.2499999999999</v>
      </c>
      <c r="U867">
        <f t="shared" si="79"/>
        <v>101.02499999999999</v>
      </c>
      <c r="V867">
        <f t="shared" si="80"/>
        <v>909.22499999999991</v>
      </c>
      <c r="W867">
        <f t="shared" si="81"/>
        <v>5</v>
      </c>
      <c r="X867">
        <f t="shared" si="82"/>
        <v>-101.02499999999998</v>
      </c>
      <c r="Y867">
        <f t="shared" si="83"/>
        <v>0</v>
      </c>
    </row>
    <row r="868" spans="1:25" x14ac:dyDescent="0.35">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c r="T868">
        <f t="shared" si="78"/>
        <v>2723.16</v>
      </c>
      <c r="U868">
        <f t="shared" si="79"/>
        <v>408.47399999999999</v>
      </c>
      <c r="V868">
        <f t="shared" si="80"/>
        <v>2314.6859999999997</v>
      </c>
      <c r="W868">
        <f t="shared" si="81"/>
        <v>9</v>
      </c>
      <c r="X868">
        <f t="shared" si="82"/>
        <v>-408.47400000000016</v>
      </c>
      <c r="Y868">
        <f t="shared" si="83"/>
        <v>0</v>
      </c>
    </row>
    <row r="869" spans="1:25" x14ac:dyDescent="0.35">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c r="T869">
        <f t="shared" si="78"/>
        <v>10216.300000000001</v>
      </c>
      <c r="U869">
        <f t="shared" si="79"/>
        <v>0</v>
      </c>
      <c r="V869">
        <f t="shared" si="80"/>
        <v>10216.300000000001</v>
      </c>
      <c r="W869">
        <f t="shared" si="81"/>
        <v>10</v>
      </c>
      <c r="X869">
        <f t="shared" si="82"/>
        <v>0</v>
      </c>
      <c r="Y869">
        <f t="shared" si="83"/>
        <v>0</v>
      </c>
    </row>
    <row r="870" spans="1:25" x14ac:dyDescent="0.35">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c r="T870">
        <f t="shared" si="78"/>
        <v>162.80000000000001</v>
      </c>
      <c r="U870">
        <f t="shared" si="79"/>
        <v>8.14</v>
      </c>
      <c r="V870">
        <f t="shared" si="80"/>
        <v>154.66000000000003</v>
      </c>
      <c r="W870">
        <f t="shared" si="81"/>
        <v>6</v>
      </c>
      <c r="X870">
        <f t="shared" si="82"/>
        <v>-8.1399999999999864</v>
      </c>
      <c r="Y870">
        <f t="shared" si="83"/>
        <v>0</v>
      </c>
    </row>
    <row r="871" spans="1:25" x14ac:dyDescent="0.35">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c r="T871">
        <f t="shared" si="78"/>
        <v>393.4</v>
      </c>
      <c r="U871">
        <f t="shared" si="79"/>
        <v>0</v>
      </c>
      <c r="V871">
        <f t="shared" si="80"/>
        <v>393.4</v>
      </c>
      <c r="W871">
        <f t="shared" si="81"/>
        <v>4</v>
      </c>
      <c r="X871">
        <f t="shared" si="82"/>
        <v>0</v>
      </c>
      <c r="Y871">
        <f t="shared" si="83"/>
        <v>0</v>
      </c>
    </row>
    <row r="872" spans="1:25" x14ac:dyDescent="0.35">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c r="T872">
        <f t="shared" si="78"/>
        <v>4433.3999999999996</v>
      </c>
      <c r="U872">
        <f t="shared" si="79"/>
        <v>443.34</v>
      </c>
      <c r="V872">
        <f t="shared" si="80"/>
        <v>3990.0599999999995</v>
      </c>
      <c r="W872">
        <f t="shared" si="81"/>
        <v>2</v>
      </c>
      <c r="X872">
        <f t="shared" si="82"/>
        <v>-443.34000000000015</v>
      </c>
      <c r="Y872">
        <f t="shared" si="83"/>
        <v>0</v>
      </c>
    </row>
    <row r="873" spans="1:25" x14ac:dyDescent="0.35">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c r="T873">
        <f t="shared" si="78"/>
        <v>2183.52</v>
      </c>
      <c r="U873">
        <f t="shared" si="79"/>
        <v>327.52799999999996</v>
      </c>
      <c r="V873">
        <f t="shared" si="80"/>
        <v>1855.992</v>
      </c>
      <c r="W873">
        <f t="shared" si="81"/>
        <v>7</v>
      </c>
      <c r="X873">
        <f t="shared" si="82"/>
        <v>-327.52800000000002</v>
      </c>
      <c r="Y873">
        <f t="shared" si="83"/>
        <v>0</v>
      </c>
    </row>
    <row r="874" spans="1:25" x14ac:dyDescent="0.35">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c r="T874">
        <f t="shared" si="78"/>
        <v>96.210000000000008</v>
      </c>
      <c r="U874">
        <f t="shared" si="79"/>
        <v>14.4315</v>
      </c>
      <c r="V874">
        <f t="shared" si="80"/>
        <v>81.778500000000008</v>
      </c>
      <c r="W874">
        <f t="shared" si="81"/>
        <v>2</v>
      </c>
      <c r="X874">
        <f t="shared" si="82"/>
        <v>-14.4315</v>
      </c>
      <c r="Y874">
        <f t="shared" si="83"/>
        <v>0</v>
      </c>
    </row>
    <row r="875" spans="1:25" x14ac:dyDescent="0.35">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c r="T875">
        <f t="shared" si="78"/>
        <v>598.95000000000005</v>
      </c>
      <c r="U875">
        <f t="shared" si="79"/>
        <v>89.842500000000001</v>
      </c>
      <c r="V875">
        <f t="shared" si="80"/>
        <v>509.10750000000007</v>
      </c>
      <c r="W875">
        <f t="shared" si="81"/>
        <v>4</v>
      </c>
      <c r="X875">
        <f t="shared" si="82"/>
        <v>-89.842499999999973</v>
      </c>
      <c r="Y875">
        <f t="shared" si="83"/>
        <v>0</v>
      </c>
    </row>
    <row r="876" spans="1:25" x14ac:dyDescent="0.35">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c r="T876">
        <f t="shared" si="78"/>
        <v>2621.0100000000002</v>
      </c>
      <c r="U876">
        <f t="shared" si="79"/>
        <v>393.1515</v>
      </c>
      <c r="V876">
        <f t="shared" si="80"/>
        <v>2227.8585000000003</v>
      </c>
      <c r="W876">
        <f t="shared" si="81"/>
        <v>6</v>
      </c>
      <c r="X876">
        <f t="shared" si="82"/>
        <v>-393.15149999999994</v>
      </c>
      <c r="Y876">
        <f t="shared" si="83"/>
        <v>0</v>
      </c>
    </row>
    <row r="877" spans="1:25" x14ac:dyDescent="0.35">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c r="T877">
        <f t="shared" si="78"/>
        <v>203.74</v>
      </c>
      <c r="U877">
        <f t="shared" si="79"/>
        <v>0</v>
      </c>
      <c r="V877">
        <f t="shared" si="80"/>
        <v>203.74</v>
      </c>
      <c r="W877">
        <f t="shared" si="81"/>
        <v>3</v>
      </c>
      <c r="X877">
        <f t="shared" si="82"/>
        <v>0</v>
      </c>
      <c r="Y877">
        <f t="shared" si="83"/>
        <v>0</v>
      </c>
    </row>
    <row r="878" spans="1:25" x14ac:dyDescent="0.35">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c r="T878">
        <f t="shared" si="78"/>
        <v>4464.8499999999995</v>
      </c>
      <c r="U878">
        <f t="shared" si="79"/>
        <v>223.24249999999998</v>
      </c>
      <c r="V878">
        <f t="shared" si="80"/>
        <v>4241.6074999999992</v>
      </c>
      <c r="W878">
        <f t="shared" si="81"/>
        <v>4</v>
      </c>
      <c r="X878">
        <f t="shared" si="82"/>
        <v>-223.24250000000029</v>
      </c>
      <c r="Y878">
        <f t="shared" si="83"/>
        <v>0</v>
      </c>
    </row>
    <row r="879" spans="1:25" x14ac:dyDescent="0.35">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c r="T879">
        <f t="shared" si="78"/>
        <v>2161.65</v>
      </c>
      <c r="U879">
        <f t="shared" si="79"/>
        <v>0</v>
      </c>
      <c r="V879">
        <f t="shared" si="80"/>
        <v>2161.65</v>
      </c>
      <c r="W879">
        <f t="shared" si="81"/>
        <v>6</v>
      </c>
      <c r="X879">
        <f t="shared" si="82"/>
        <v>0</v>
      </c>
      <c r="Y879">
        <f t="shared" si="83"/>
        <v>0</v>
      </c>
    </row>
    <row r="880" spans="1:25" x14ac:dyDescent="0.35">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c r="T880">
        <f t="shared" si="78"/>
        <v>7266.24</v>
      </c>
      <c r="U880">
        <f t="shared" si="79"/>
        <v>1089.9359999999999</v>
      </c>
      <c r="V880">
        <f t="shared" si="80"/>
        <v>6176.3040000000001</v>
      </c>
      <c r="W880">
        <f t="shared" si="81"/>
        <v>9</v>
      </c>
      <c r="X880">
        <f t="shared" si="82"/>
        <v>-1089.9359999999997</v>
      </c>
      <c r="Y880">
        <f t="shared" si="83"/>
        <v>0</v>
      </c>
    </row>
    <row r="881" spans="1:25" x14ac:dyDescent="0.35">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c r="T881">
        <f t="shared" si="78"/>
        <v>4851.9799999999996</v>
      </c>
      <c r="U881">
        <f t="shared" si="79"/>
        <v>485.19799999999998</v>
      </c>
      <c r="V881">
        <f t="shared" si="80"/>
        <v>4366.7819999999992</v>
      </c>
      <c r="W881">
        <f t="shared" si="81"/>
        <v>8</v>
      </c>
      <c r="X881">
        <f t="shared" si="82"/>
        <v>-485.19800000000032</v>
      </c>
      <c r="Y881">
        <f t="shared" si="83"/>
        <v>0</v>
      </c>
    </row>
    <row r="882" spans="1:25" x14ac:dyDescent="0.35">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c r="T882">
        <f t="shared" si="78"/>
        <v>2749.53</v>
      </c>
      <c r="U882">
        <f t="shared" si="79"/>
        <v>0</v>
      </c>
      <c r="V882">
        <f t="shared" si="80"/>
        <v>2749.53</v>
      </c>
      <c r="W882">
        <f t="shared" si="81"/>
        <v>10</v>
      </c>
      <c r="X882">
        <f t="shared" si="82"/>
        <v>0</v>
      </c>
      <c r="Y882">
        <f t="shared" si="83"/>
        <v>0</v>
      </c>
    </row>
    <row r="883" spans="1:25" x14ac:dyDescent="0.35">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c r="T883">
        <f t="shared" si="78"/>
        <v>1133.28</v>
      </c>
      <c r="U883">
        <f t="shared" si="79"/>
        <v>56.664000000000001</v>
      </c>
      <c r="V883">
        <f t="shared" si="80"/>
        <v>1076.616</v>
      </c>
      <c r="W883">
        <f t="shared" si="81"/>
        <v>5</v>
      </c>
      <c r="X883">
        <f t="shared" si="82"/>
        <v>-56.663999999999987</v>
      </c>
      <c r="Y883">
        <f t="shared" si="83"/>
        <v>0</v>
      </c>
    </row>
    <row r="884" spans="1:25" x14ac:dyDescent="0.35">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c r="T884">
        <f t="shared" si="78"/>
        <v>5487.4</v>
      </c>
      <c r="U884">
        <f t="shared" si="79"/>
        <v>548.74</v>
      </c>
      <c r="V884">
        <f t="shared" si="80"/>
        <v>4938.66</v>
      </c>
      <c r="W884">
        <f t="shared" si="81"/>
        <v>4</v>
      </c>
      <c r="X884">
        <f t="shared" si="82"/>
        <v>-548.73999999999978</v>
      </c>
      <c r="Y884">
        <f t="shared" si="83"/>
        <v>0</v>
      </c>
    </row>
    <row r="885" spans="1:25" x14ac:dyDescent="0.35">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c r="T885">
        <f t="shared" si="78"/>
        <v>197.3</v>
      </c>
      <c r="U885">
        <f t="shared" si="79"/>
        <v>19.730000000000004</v>
      </c>
      <c r="V885">
        <f t="shared" si="80"/>
        <v>177.57</v>
      </c>
      <c r="W885">
        <f t="shared" si="81"/>
        <v>3</v>
      </c>
      <c r="X885">
        <f t="shared" si="82"/>
        <v>-19.730000000000018</v>
      </c>
      <c r="Y885">
        <f t="shared" si="83"/>
        <v>0</v>
      </c>
    </row>
    <row r="886" spans="1:25" x14ac:dyDescent="0.35">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c r="T886">
        <f t="shared" si="78"/>
        <v>4657.2000000000007</v>
      </c>
      <c r="U886">
        <f t="shared" si="79"/>
        <v>232.86000000000004</v>
      </c>
      <c r="V886">
        <f t="shared" si="80"/>
        <v>4424.3400000000011</v>
      </c>
      <c r="W886">
        <f t="shared" si="81"/>
        <v>6</v>
      </c>
      <c r="X886">
        <f t="shared" si="82"/>
        <v>-232.85999999999967</v>
      </c>
      <c r="Y886">
        <f t="shared" si="83"/>
        <v>0</v>
      </c>
    </row>
    <row r="887" spans="1:25" x14ac:dyDescent="0.35">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c r="T887">
        <f t="shared" si="78"/>
        <v>1179.33</v>
      </c>
      <c r="U887">
        <f t="shared" si="79"/>
        <v>117.93299999999999</v>
      </c>
      <c r="V887">
        <f t="shared" si="80"/>
        <v>1061.3969999999999</v>
      </c>
      <c r="W887">
        <f t="shared" si="81"/>
        <v>10</v>
      </c>
      <c r="X887">
        <f t="shared" si="82"/>
        <v>-117.93299999999999</v>
      </c>
      <c r="Y887">
        <f t="shared" si="83"/>
        <v>0</v>
      </c>
    </row>
    <row r="888" spans="1:25" x14ac:dyDescent="0.35">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c r="T888">
        <f t="shared" si="78"/>
        <v>5821.2000000000007</v>
      </c>
      <c r="U888">
        <f t="shared" si="79"/>
        <v>291.06000000000006</v>
      </c>
      <c r="V888">
        <f t="shared" si="80"/>
        <v>5530.14</v>
      </c>
      <c r="W888">
        <f t="shared" si="81"/>
        <v>10</v>
      </c>
      <c r="X888">
        <f t="shared" si="82"/>
        <v>-291.0600000000004</v>
      </c>
      <c r="Y888">
        <f t="shared" si="83"/>
        <v>0</v>
      </c>
    </row>
    <row r="889" spans="1:25" x14ac:dyDescent="0.35">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c r="T889">
        <f t="shared" si="78"/>
        <v>2711.17</v>
      </c>
      <c r="U889">
        <f t="shared" si="79"/>
        <v>271.11700000000002</v>
      </c>
      <c r="V889">
        <f t="shared" si="80"/>
        <v>2440.0529999999999</v>
      </c>
      <c r="W889">
        <f t="shared" si="81"/>
        <v>3</v>
      </c>
      <c r="X889">
        <f t="shared" si="82"/>
        <v>-271.11700000000019</v>
      </c>
      <c r="Y889">
        <f t="shared" si="83"/>
        <v>0</v>
      </c>
    </row>
    <row r="890" spans="1:25" x14ac:dyDescent="0.35">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c r="T890">
        <f t="shared" si="78"/>
        <v>152.75</v>
      </c>
      <c r="U890">
        <f t="shared" si="79"/>
        <v>0</v>
      </c>
      <c r="V890">
        <f t="shared" si="80"/>
        <v>152.75</v>
      </c>
      <c r="W890">
        <f t="shared" si="81"/>
        <v>3</v>
      </c>
      <c r="X890">
        <f t="shared" si="82"/>
        <v>0</v>
      </c>
      <c r="Y890">
        <f t="shared" si="83"/>
        <v>0</v>
      </c>
    </row>
    <row r="891" spans="1:25" x14ac:dyDescent="0.35">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c r="T891">
        <f t="shared" si="78"/>
        <v>579.84</v>
      </c>
      <c r="U891">
        <f t="shared" si="79"/>
        <v>57.984000000000009</v>
      </c>
      <c r="V891">
        <f t="shared" si="80"/>
        <v>521.85599999999999</v>
      </c>
      <c r="W891">
        <f t="shared" si="81"/>
        <v>7</v>
      </c>
      <c r="X891">
        <f t="shared" si="82"/>
        <v>-57.984000000000037</v>
      </c>
      <c r="Y891">
        <f t="shared" si="83"/>
        <v>0</v>
      </c>
    </row>
    <row r="892" spans="1:25" x14ac:dyDescent="0.35">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c r="T892">
        <f t="shared" si="78"/>
        <v>776.36</v>
      </c>
      <c r="U892">
        <f t="shared" si="79"/>
        <v>77.63600000000001</v>
      </c>
      <c r="V892">
        <f t="shared" si="80"/>
        <v>698.72400000000005</v>
      </c>
      <c r="W892">
        <f t="shared" si="81"/>
        <v>4</v>
      </c>
      <c r="X892">
        <f t="shared" si="82"/>
        <v>-77.635999999999967</v>
      </c>
      <c r="Y892">
        <f t="shared" si="83"/>
        <v>0</v>
      </c>
    </row>
    <row r="893" spans="1:25" x14ac:dyDescent="0.35">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c r="T893">
        <f t="shared" si="78"/>
        <v>477.90000000000003</v>
      </c>
      <c r="U893">
        <f t="shared" si="79"/>
        <v>23.895000000000003</v>
      </c>
      <c r="V893">
        <f t="shared" si="80"/>
        <v>454.00500000000005</v>
      </c>
      <c r="W893">
        <f t="shared" si="81"/>
        <v>3</v>
      </c>
      <c r="X893">
        <f t="shared" si="82"/>
        <v>-23.894999999999982</v>
      </c>
      <c r="Y893">
        <f t="shared" si="83"/>
        <v>0</v>
      </c>
    </row>
    <row r="894" spans="1:25" x14ac:dyDescent="0.35">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c r="T894">
        <f t="shared" si="78"/>
        <v>1213.48</v>
      </c>
      <c r="U894">
        <f t="shared" si="79"/>
        <v>121.34800000000001</v>
      </c>
      <c r="V894">
        <f t="shared" si="80"/>
        <v>1092.1320000000001</v>
      </c>
      <c r="W894">
        <f t="shared" si="81"/>
        <v>5</v>
      </c>
      <c r="X894">
        <f t="shared" si="82"/>
        <v>-121.34799999999996</v>
      </c>
      <c r="Y894">
        <f t="shared" si="83"/>
        <v>0</v>
      </c>
    </row>
    <row r="895" spans="1:25" x14ac:dyDescent="0.35">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c r="T895">
        <f t="shared" si="78"/>
        <v>8671.36</v>
      </c>
      <c r="U895">
        <f t="shared" si="79"/>
        <v>867.13600000000008</v>
      </c>
      <c r="V895">
        <f t="shared" si="80"/>
        <v>7804.2240000000002</v>
      </c>
      <c r="W895">
        <f t="shared" si="81"/>
        <v>8</v>
      </c>
      <c r="X895">
        <f t="shared" si="82"/>
        <v>-867.13600000000042</v>
      </c>
      <c r="Y895">
        <f t="shared" si="83"/>
        <v>0</v>
      </c>
    </row>
    <row r="896" spans="1:25" x14ac:dyDescent="0.35">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c r="T896">
        <f t="shared" si="78"/>
        <v>290.99</v>
      </c>
      <c r="U896">
        <f t="shared" si="79"/>
        <v>0</v>
      </c>
      <c r="V896">
        <f t="shared" si="80"/>
        <v>290.99</v>
      </c>
      <c r="W896">
        <f t="shared" si="81"/>
        <v>6</v>
      </c>
      <c r="X896">
        <f t="shared" si="82"/>
        <v>0</v>
      </c>
      <c r="Y896">
        <f t="shared" si="83"/>
        <v>0</v>
      </c>
    </row>
    <row r="897" spans="1:25" x14ac:dyDescent="0.35">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c r="T897">
        <f t="shared" si="78"/>
        <v>3483.84</v>
      </c>
      <c r="U897">
        <f t="shared" si="79"/>
        <v>522.57600000000002</v>
      </c>
      <c r="V897">
        <f t="shared" si="80"/>
        <v>2961.2640000000001</v>
      </c>
      <c r="W897">
        <f t="shared" si="81"/>
        <v>7</v>
      </c>
      <c r="X897">
        <f t="shared" si="82"/>
        <v>-522.57600000000002</v>
      </c>
      <c r="Y897">
        <f t="shared" si="83"/>
        <v>0</v>
      </c>
    </row>
    <row r="898" spans="1:25" x14ac:dyDescent="0.35">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c r="T898">
        <f t="shared" si="78"/>
        <v>287.55</v>
      </c>
      <c r="U898">
        <f t="shared" si="79"/>
        <v>0</v>
      </c>
      <c r="V898">
        <f t="shared" si="80"/>
        <v>287.55</v>
      </c>
      <c r="W898">
        <f t="shared" si="81"/>
        <v>10</v>
      </c>
      <c r="X898">
        <f t="shared" si="82"/>
        <v>0</v>
      </c>
      <c r="Y898">
        <f t="shared" si="83"/>
        <v>0</v>
      </c>
    </row>
    <row r="899" spans="1:25" x14ac:dyDescent="0.35">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c r="T899">
        <f t="shared" ref="T899:T962" si="84">D899*E899</f>
        <v>4400.0999999999995</v>
      </c>
      <c r="U899">
        <f t="shared" ref="U899:U962" si="85">T899*H899</f>
        <v>440.01</v>
      </c>
      <c r="V899">
        <f t="shared" ref="V899:V962" si="86">T899-U899</f>
        <v>3960.0899999999992</v>
      </c>
      <c r="W899">
        <f t="shared" ref="W899:W962" si="87">R899-Q899</f>
        <v>2</v>
      </c>
      <c r="X899">
        <f t="shared" ref="X899:X962" si="88">V899-(E899*D899)</f>
        <v>-440.01000000000022</v>
      </c>
      <c r="Y899">
        <f t="shared" ref="Y899:Y962" si="89">IF(M899 = "Yes", -V899,0)</f>
        <v>0</v>
      </c>
    </row>
    <row r="900" spans="1:25" x14ac:dyDescent="0.35">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c r="T900">
        <f t="shared" si="84"/>
        <v>3682.44</v>
      </c>
      <c r="U900">
        <f t="shared" si="85"/>
        <v>368.24400000000003</v>
      </c>
      <c r="V900">
        <f t="shared" si="86"/>
        <v>3314.1959999999999</v>
      </c>
      <c r="W900">
        <f t="shared" si="87"/>
        <v>6</v>
      </c>
      <c r="X900">
        <f t="shared" si="88"/>
        <v>-368.24400000000014</v>
      </c>
      <c r="Y900">
        <f t="shared" si="89"/>
        <v>0</v>
      </c>
    </row>
    <row r="901" spans="1:25" x14ac:dyDescent="0.35">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c r="T901">
        <f t="shared" si="84"/>
        <v>4868.7</v>
      </c>
      <c r="U901">
        <f t="shared" si="85"/>
        <v>730.30499999999995</v>
      </c>
      <c r="V901">
        <f t="shared" si="86"/>
        <v>4138.3949999999995</v>
      </c>
      <c r="W901">
        <f t="shared" si="87"/>
        <v>4</v>
      </c>
      <c r="X901">
        <f t="shared" si="88"/>
        <v>-730.30500000000029</v>
      </c>
      <c r="Y901">
        <f t="shared" si="89"/>
        <v>0</v>
      </c>
    </row>
    <row r="902" spans="1:25" x14ac:dyDescent="0.35">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c r="T902">
        <f t="shared" si="84"/>
        <v>4329.71</v>
      </c>
      <c r="U902">
        <f t="shared" si="85"/>
        <v>216.4855</v>
      </c>
      <c r="V902">
        <f t="shared" si="86"/>
        <v>4113.2245000000003</v>
      </c>
      <c r="W902">
        <f t="shared" si="87"/>
        <v>9</v>
      </c>
      <c r="X902">
        <f t="shared" si="88"/>
        <v>-216.48549999999977</v>
      </c>
      <c r="Y902">
        <f t="shared" si="89"/>
        <v>0</v>
      </c>
    </row>
    <row r="903" spans="1:25" x14ac:dyDescent="0.35">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c r="T903">
        <f t="shared" si="84"/>
        <v>1130.24</v>
      </c>
      <c r="U903">
        <f t="shared" si="85"/>
        <v>56.512</v>
      </c>
      <c r="V903">
        <f t="shared" si="86"/>
        <v>1073.7280000000001</v>
      </c>
      <c r="W903">
        <f t="shared" si="87"/>
        <v>9</v>
      </c>
      <c r="X903">
        <f t="shared" si="88"/>
        <v>-56.511999999999944</v>
      </c>
      <c r="Y903">
        <f t="shared" si="89"/>
        <v>0</v>
      </c>
    </row>
    <row r="904" spans="1:25" x14ac:dyDescent="0.35">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c r="T904">
        <f t="shared" si="84"/>
        <v>2959.3199999999997</v>
      </c>
      <c r="U904">
        <f t="shared" si="85"/>
        <v>443.89799999999997</v>
      </c>
      <c r="V904">
        <f t="shared" si="86"/>
        <v>2515.4219999999996</v>
      </c>
      <c r="W904">
        <f t="shared" si="87"/>
        <v>8</v>
      </c>
      <c r="X904">
        <f t="shared" si="88"/>
        <v>-443.89800000000014</v>
      </c>
      <c r="Y904">
        <f t="shared" si="89"/>
        <v>0</v>
      </c>
    </row>
    <row r="905" spans="1:25" x14ac:dyDescent="0.35">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c r="T905">
        <f t="shared" si="84"/>
        <v>6480.33</v>
      </c>
      <c r="U905">
        <f t="shared" si="85"/>
        <v>648.03300000000002</v>
      </c>
      <c r="V905">
        <f t="shared" si="86"/>
        <v>5832.2969999999996</v>
      </c>
      <c r="W905">
        <f t="shared" si="87"/>
        <v>3</v>
      </c>
      <c r="X905">
        <f t="shared" si="88"/>
        <v>-648.03300000000036</v>
      </c>
      <c r="Y905">
        <f t="shared" si="89"/>
        <v>0</v>
      </c>
    </row>
    <row r="906" spans="1:25" x14ac:dyDescent="0.35">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c r="T906">
        <f t="shared" si="84"/>
        <v>6491</v>
      </c>
      <c r="U906">
        <f t="shared" si="85"/>
        <v>324.55</v>
      </c>
      <c r="V906">
        <f t="shared" si="86"/>
        <v>6166.45</v>
      </c>
      <c r="W906">
        <f t="shared" si="87"/>
        <v>4</v>
      </c>
      <c r="X906">
        <f t="shared" si="88"/>
        <v>-324.55000000000018</v>
      </c>
      <c r="Y906">
        <f t="shared" si="89"/>
        <v>0</v>
      </c>
    </row>
    <row r="907" spans="1:25" x14ac:dyDescent="0.35">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c r="T907">
        <f t="shared" si="84"/>
        <v>4817.12</v>
      </c>
      <c r="U907">
        <f t="shared" si="85"/>
        <v>481.71199999999999</v>
      </c>
      <c r="V907">
        <f t="shared" si="86"/>
        <v>4335.4079999999994</v>
      </c>
      <c r="W907">
        <f t="shared" si="87"/>
        <v>9</v>
      </c>
      <c r="X907">
        <f t="shared" si="88"/>
        <v>-481.71200000000044</v>
      </c>
      <c r="Y907">
        <f t="shared" si="89"/>
        <v>0</v>
      </c>
    </row>
    <row r="908" spans="1:25" x14ac:dyDescent="0.35">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c r="T908">
        <f t="shared" si="84"/>
        <v>3708.6399999999994</v>
      </c>
      <c r="U908">
        <f t="shared" si="85"/>
        <v>0</v>
      </c>
      <c r="V908">
        <f t="shared" si="86"/>
        <v>3708.6399999999994</v>
      </c>
      <c r="W908">
        <f t="shared" si="87"/>
        <v>7</v>
      </c>
      <c r="X908">
        <f t="shared" si="88"/>
        <v>0</v>
      </c>
      <c r="Y908">
        <f t="shared" si="89"/>
        <v>0</v>
      </c>
    </row>
    <row r="909" spans="1:25" x14ac:dyDescent="0.35">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c r="T909">
        <f t="shared" si="84"/>
        <v>270.59999999999997</v>
      </c>
      <c r="U909">
        <f t="shared" si="85"/>
        <v>0</v>
      </c>
      <c r="V909">
        <f t="shared" si="86"/>
        <v>270.59999999999997</v>
      </c>
      <c r="W909">
        <f t="shared" si="87"/>
        <v>4</v>
      </c>
      <c r="X909">
        <f t="shared" si="88"/>
        <v>0</v>
      </c>
      <c r="Y909">
        <f t="shared" si="89"/>
        <v>0</v>
      </c>
    </row>
    <row r="910" spans="1:25" x14ac:dyDescent="0.35">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c r="T910">
        <f t="shared" si="84"/>
        <v>5449.84</v>
      </c>
      <c r="U910">
        <f t="shared" si="85"/>
        <v>0</v>
      </c>
      <c r="V910">
        <f t="shared" si="86"/>
        <v>5449.84</v>
      </c>
      <c r="W910">
        <f t="shared" si="87"/>
        <v>6</v>
      </c>
      <c r="X910">
        <f t="shared" si="88"/>
        <v>0</v>
      </c>
      <c r="Y910">
        <f t="shared" si="89"/>
        <v>0</v>
      </c>
    </row>
    <row r="911" spans="1:25" x14ac:dyDescent="0.35">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c r="T911">
        <f t="shared" si="84"/>
        <v>3317.04</v>
      </c>
      <c r="U911">
        <f t="shared" si="85"/>
        <v>497.55599999999998</v>
      </c>
      <c r="V911">
        <f t="shared" si="86"/>
        <v>2819.4839999999999</v>
      </c>
      <c r="W911">
        <f t="shared" si="87"/>
        <v>9</v>
      </c>
      <c r="X911">
        <f t="shared" si="88"/>
        <v>-497.55600000000004</v>
      </c>
      <c r="Y911">
        <f t="shared" si="89"/>
        <v>0</v>
      </c>
    </row>
    <row r="912" spans="1:25" x14ac:dyDescent="0.35">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c r="T912">
        <f t="shared" si="84"/>
        <v>1598.24</v>
      </c>
      <c r="U912">
        <f t="shared" si="85"/>
        <v>239.73599999999999</v>
      </c>
      <c r="V912">
        <f t="shared" si="86"/>
        <v>1358.5039999999999</v>
      </c>
      <c r="W912">
        <f t="shared" si="87"/>
        <v>4</v>
      </c>
      <c r="X912">
        <f t="shared" si="88"/>
        <v>-239.7360000000001</v>
      </c>
      <c r="Y912">
        <f t="shared" si="89"/>
        <v>0</v>
      </c>
    </row>
    <row r="913" spans="1:25" x14ac:dyDescent="0.35">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c r="T913">
        <f t="shared" si="84"/>
        <v>498.19</v>
      </c>
      <c r="U913">
        <f t="shared" si="85"/>
        <v>49.819000000000003</v>
      </c>
      <c r="V913">
        <f t="shared" si="86"/>
        <v>448.37099999999998</v>
      </c>
      <c r="W913">
        <f t="shared" si="87"/>
        <v>4</v>
      </c>
      <c r="X913">
        <f t="shared" si="88"/>
        <v>-49.819000000000017</v>
      </c>
      <c r="Y913">
        <f t="shared" si="89"/>
        <v>0</v>
      </c>
    </row>
    <row r="914" spans="1:25" x14ac:dyDescent="0.35">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c r="T914">
        <f t="shared" si="84"/>
        <v>6764.94</v>
      </c>
      <c r="U914">
        <f t="shared" si="85"/>
        <v>676.49400000000003</v>
      </c>
      <c r="V914">
        <f t="shared" si="86"/>
        <v>6088.4459999999999</v>
      </c>
      <c r="W914">
        <f t="shared" si="87"/>
        <v>8</v>
      </c>
      <c r="X914">
        <f t="shared" si="88"/>
        <v>-676.49399999999969</v>
      </c>
      <c r="Y914">
        <f t="shared" si="89"/>
        <v>0</v>
      </c>
    </row>
    <row r="915" spans="1:25" x14ac:dyDescent="0.35">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c r="T915">
        <f t="shared" si="84"/>
        <v>2346.4800000000005</v>
      </c>
      <c r="U915">
        <f t="shared" si="85"/>
        <v>0</v>
      </c>
      <c r="V915">
        <f t="shared" si="86"/>
        <v>2346.4800000000005</v>
      </c>
      <c r="W915">
        <f t="shared" si="87"/>
        <v>5</v>
      </c>
      <c r="X915">
        <f t="shared" si="88"/>
        <v>0</v>
      </c>
      <c r="Y915">
        <f t="shared" si="89"/>
        <v>0</v>
      </c>
    </row>
    <row r="916" spans="1:25" x14ac:dyDescent="0.35">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c r="T916">
        <f t="shared" si="84"/>
        <v>7616.44</v>
      </c>
      <c r="U916">
        <f t="shared" si="85"/>
        <v>1142.4659999999999</v>
      </c>
      <c r="V916">
        <f t="shared" si="86"/>
        <v>6473.9740000000002</v>
      </c>
      <c r="W916">
        <f t="shared" si="87"/>
        <v>10</v>
      </c>
      <c r="X916">
        <f t="shared" si="88"/>
        <v>-1142.4659999999994</v>
      </c>
      <c r="Y916">
        <f t="shared" si="89"/>
        <v>0</v>
      </c>
    </row>
    <row r="917" spans="1:25" x14ac:dyDescent="0.35">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c r="T917">
        <f t="shared" si="84"/>
        <v>5282.76</v>
      </c>
      <c r="U917">
        <f t="shared" si="85"/>
        <v>264.13800000000003</v>
      </c>
      <c r="V917">
        <f t="shared" si="86"/>
        <v>5018.6220000000003</v>
      </c>
      <c r="W917">
        <f t="shared" si="87"/>
        <v>4</v>
      </c>
      <c r="X917">
        <f t="shared" si="88"/>
        <v>-264.13799999999992</v>
      </c>
      <c r="Y917">
        <f t="shared" si="89"/>
        <v>0</v>
      </c>
    </row>
    <row r="918" spans="1:25" x14ac:dyDescent="0.35">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c r="T918">
        <f t="shared" si="84"/>
        <v>2947.01</v>
      </c>
      <c r="U918">
        <f t="shared" si="85"/>
        <v>0</v>
      </c>
      <c r="V918">
        <f t="shared" si="86"/>
        <v>2947.01</v>
      </c>
      <c r="W918">
        <f t="shared" si="87"/>
        <v>5</v>
      </c>
      <c r="X918">
        <f t="shared" si="88"/>
        <v>0</v>
      </c>
      <c r="Y918">
        <f t="shared" si="89"/>
        <v>0</v>
      </c>
    </row>
    <row r="919" spans="1:25" x14ac:dyDescent="0.35">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c r="T919">
        <f t="shared" si="84"/>
        <v>4434.4800000000005</v>
      </c>
      <c r="U919">
        <f t="shared" si="85"/>
        <v>221.72400000000005</v>
      </c>
      <c r="V919">
        <f t="shared" si="86"/>
        <v>4212.7560000000003</v>
      </c>
      <c r="W919">
        <f t="shared" si="87"/>
        <v>8</v>
      </c>
      <c r="X919">
        <f t="shared" si="88"/>
        <v>-221.72400000000016</v>
      </c>
      <c r="Y919">
        <f t="shared" si="89"/>
        <v>0</v>
      </c>
    </row>
    <row r="920" spans="1:25" x14ac:dyDescent="0.35">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c r="T920">
        <f t="shared" si="84"/>
        <v>3695.9</v>
      </c>
      <c r="U920">
        <f t="shared" si="85"/>
        <v>184.79500000000002</v>
      </c>
      <c r="V920">
        <f t="shared" si="86"/>
        <v>3511.105</v>
      </c>
      <c r="W920">
        <f t="shared" si="87"/>
        <v>7</v>
      </c>
      <c r="X920">
        <f t="shared" si="88"/>
        <v>-184.79500000000007</v>
      </c>
      <c r="Y920">
        <f t="shared" si="89"/>
        <v>0</v>
      </c>
    </row>
    <row r="921" spans="1:25" x14ac:dyDescent="0.35">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c r="T921">
        <f t="shared" si="84"/>
        <v>5125.2000000000007</v>
      </c>
      <c r="U921">
        <f t="shared" si="85"/>
        <v>0</v>
      </c>
      <c r="V921">
        <f t="shared" si="86"/>
        <v>5125.2000000000007</v>
      </c>
      <c r="W921">
        <f t="shared" si="87"/>
        <v>5</v>
      </c>
      <c r="X921">
        <f t="shared" si="88"/>
        <v>0</v>
      </c>
      <c r="Y921">
        <f t="shared" si="89"/>
        <v>0</v>
      </c>
    </row>
    <row r="922" spans="1:25" x14ac:dyDescent="0.35">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c r="T922">
        <f t="shared" si="84"/>
        <v>2203.3000000000002</v>
      </c>
      <c r="U922">
        <f t="shared" si="85"/>
        <v>220.33000000000004</v>
      </c>
      <c r="V922">
        <f t="shared" si="86"/>
        <v>1982.9700000000003</v>
      </c>
      <c r="W922">
        <f t="shared" si="87"/>
        <v>7</v>
      </c>
      <c r="X922">
        <f t="shared" si="88"/>
        <v>-220.32999999999993</v>
      </c>
      <c r="Y922">
        <f t="shared" si="89"/>
        <v>0</v>
      </c>
    </row>
    <row r="923" spans="1:25" x14ac:dyDescent="0.35">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c r="T923">
        <f t="shared" si="84"/>
        <v>303.2</v>
      </c>
      <c r="U923">
        <f t="shared" si="85"/>
        <v>45.48</v>
      </c>
      <c r="V923">
        <f t="shared" si="86"/>
        <v>257.71999999999997</v>
      </c>
      <c r="W923">
        <f t="shared" si="87"/>
        <v>8</v>
      </c>
      <c r="X923">
        <f t="shared" si="88"/>
        <v>-45.480000000000018</v>
      </c>
      <c r="Y923">
        <f t="shared" si="89"/>
        <v>0</v>
      </c>
    </row>
    <row r="924" spans="1:25" x14ac:dyDescent="0.35">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c r="T924">
        <f t="shared" si="84"/>
        <v>2073.7199999999998</v>
      </c>
      <c r="U924">
        <f t="shared" si="85"/>
        <v>0</v>
      </c>
      <c r="V924">
        <f t="shared" si="86"/>
        <v>2073.7199999999998</v>
      </c>
      <c r="W924">
        <f t="shared" si="87"/>
        <v>5</v>
      </c>
      <c r="X924">
        <f t="shared" si="88"/>
        <v>0</v>
      </c>
      <c r="Y924">
        <f t="shared" si="89"/>
        <v>0</v>
      </c>
    </row>
    <row r="925" spans="1:25" x14ac:dyDescent="0.35">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c r="T925">
        <f t="shared" si="84"/>
        <v>3442.42</v>
      </c>
      <c r="U925">
        <f t="shared" si="85"/>
        <v>172.12100000000001</v>
      </c>
      <c r="V925">
        <f t="shared" si="86"/>
        <v>3270.299</v>
      </c>
      <c r="W925">
        <f t="shared" si="87"/>
        <v>8</v>
      </c>
      <c r="X925">
        <f t="shared" si="88"/>
        <v>-172.12100000000009</v>
      </c>
      <c r="Y925">
        <f t="shared" si="89"/>
        <v>0</v>
      </c>
    </row>
    <row r="926" spans="1:25" x14ac:dyDescent="0.35">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c r="T926">
        <f t="shared" si="84"/>
        <v>591.51</v>
      </c>
      <c r="U926">
        <f t="shared" si="85"/>
        <v>29.575500000000002</v>
      </c>
      <c r="V926">
        <f t="shared" si="86"/>
        <v>561.93449999999996</v>
      </c>
      <c r="W926">
        <f t="shared" si="87"/>
        <v>3</v>
      </c>
      <c r="X926">
        <f t="shared" si="88"/>
        <v>-29.575500000000034</v>
      </c>
      <c r="Y926">
        <f t="shared" si="89"/>
        <v>0</v>
      </c>
    </row>
    <row r="927" spans="1:25" x14ac:dyDescent="0.35">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c r="T927">
        <f t="shared" si="84"/>
        <v>491.76</v>
      </c>
      <c r="U927">
        <f t="shared" si="85"/>
        <v>24.588000000000001</v>
      </c>
      <c r="V927">
        <f t="shared" si="86"/>
        <v>467.17199999999997</v>
      </c>
      <c r="W927">
        <f t="shared" si="87"/>
        <v>10</v>
      </c>
      <c r="X927">
        <f t="shared" si="88"/>
        <v>-24.588000000000022</v>
      </c>
      <c r="Y927">
        <f t="shared" si="89"/>
        <v>0</v>
      </c>
    </row>
    <row r="928" spans="1:25" x14ac:dyDescent="0.35">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c r="T928">
        <f t="shared" si="84"/>
        <v>179.34</v>
      </c>
      <c r="U928">
        <f t="shared" si="85"/>
        <v>0</v>
      </c>
      <c r="V928">
        <f t="shared" si="86"/>
        <v>179.34</v>
      </c>
      <c r="W928">
        <f t="shared" si="87"/>
        <v>3</v>
      </c>
      <c r="X928">
        <f t="shared" si="88"/>
        <v>0</v>
      </c>
      <c r="Y928">
        <f t="shared" si="89"/>
        <v>0</v>
      </c>
    </row>
    <row r="929" spans="1:25" x14ac:dyDescent="0.35">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c r="T929">
        <f t="shared" si="84"/>
        <v>2539.92</v>
      </c>
      <c r="U929">
        <f t="shared" si="85"/>
        <v>253.99200000000002</v>
      </c>
      <c r="V929">
        <f t="shared" si="86"/>
        <v>2285.9279999999999</v>
      </c>
      <c r="W929">
        <f t="shared" si="87"/>
        <v>5</v>
      </c>
      <c r="X929">
        <f t="shared" si="88"/>
        <v>-253.99200000000019</v>
      </c>
      <c r="Y929">
        <f t="shared" si="89"/>
        <v>0</v>
      </c>
    </row>
    <row r="930" spans="1:25" x14ac:dyDescent="0.35">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c r="T930">
        <f t="shared" si="84"/>
        <v>909.61</v>
      </c>
      <c r="U930">
        <f t="shared" si="85"/>
        <v>45.480500000000006</v>
      </c>
      <c r="V930">
        <f t="shared" si="86"/>
        <v>864.12950000000001</v>
      </c>
      <c r="W930">
        <f t="shared" si="87"/>
        <v>6</v>
      </c>
      <c r="X930">
        <f t="shared" si="88"/>
        <v>-45.480500000000006</v>
      </c>
      <c r="Y930">
        <f t="shared" si="89"/>
        <v>0</v>
      </c>
    </row>
    <row r="931" spans="1:25" x14ac:dyDescent="0.35">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c r="T931">
        <f t="shared" si="84"/>
        <v>3068.31</v>
      </c>
      <c r="U931">
        <f t="shared" si="85"/>
        <v>306.83100000000002</v>
      </c>
      <c r="V931">
        <f t="shared" si="86"/>
        <v>2761.4789999999998</v>
      </c>
      <c r="W931">
        <f t="shared" si="87"/>
        <v>4</v>
      </c>
      <c r="X931">
        <f t="shared" si="88"/>
        <v>-306.83100000000013</v>
      </c>
      <c r="Y931">
        <f t="shared" si="89"/>
        <v>0</v>
      </c>
    </row>
    <row r="932" spans="1:25" x14ac:dyDescent="0.35">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c r="T932">
        <f t="shared" si="84"/>
        <v>1692.67</v>
      </c>
      <c r="U932">
        <f t="shared" si="85"/>
        <v>169.26700000000002</v>
      </c>
      <c r="V932">
        <f t="shared" si="86"/>
        <v>1523.403</v>
      </c>
      <c r="W932">
        <f t="shared" si="87"/>
        <v>4</v>
      </c>
      <c r="X932">
        <f t="shared" si="88"/>
        <v>-169.26700000000005</v>
      </c>
      <c r="Y932">
        <f t="shared" si="89"/>
        <v>0</v>
      </c>
    </row>
    <row r="933" spans="1:25" x14ac:dyDescent="0.35">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c r="T933">
        <f t="shared" si="84"/>
        <v>1399.92</v>
      </c>
      <c r="U933">
        <f t="shared" si="85"/>
        <v>209.988</v>
      </c>
      <c r="V933">
        <f t="shared" si="86"/>
        <v>1189.932</v>
      </c>
      <c r="W933">
        <f t="shared" si="87"/>
        <v>6</v>
      </c>
      <c r="X933">
        <f t="shared" si="88"/>
        <v>-209.98800000000006</v>
      </c>
      <c r="Y933">
        <f t="shared" si="89"/>
        <v>0</v>
      </c>
    </row>
    <row r="934" spans="1:25" x14ac:dyDescent="0.35">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c r="T934">
        <f t="shared" si="84"/>
        <v>4255.5599999999995</v>
      </c>
      <c r="U934">
        <f t="shared" si="85"/>
        <v>212.77799999999999</v>
      </c>
      <c r="V934">
        <f t="shared" si="86"/>
        <v>4042.7819999999997</v>
      </c>
      <c r="W934">
        <f t="shared" si="87"/>
        <v>2</v>
      </c>
      <c r="X934">
        <f t="shared" si="88"/>
        <v>-212.77799999999979</v>
      </c>
      <c r="Y934">
        <f t="shared" si="89"/>
        <v>0</v>
      </c>
    </row>
    <row r="935" spans="1:25" x14ac:dyDescent="0.35">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c r="T935">
        <f t="shared" si="84"/>
        <v>11143.31</v>
      </c>
      <c r="U935">
        <f t="shared" si="85"/>
        <v>1114.3309999999999</v>
      </c>
      <c r="V935">
        <f t="shared" si="86"/>
        <v>10028.978999999999</v>
      </c>
      <c r="W935">
        <f t="shared" si="87"/>
        <v>10</v>
      </c>
      <c r="X935">
        <f t="shared" si="88"/>
        <v>-1114.3310000000001</v>
      </c>
      <c r="Y935">
        <f t="shared" si="89"/>
        <v>0</v>
      </c>
    </row>
    <row r="936" spans="1:25" x14ac:dyDescent="0.35">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c r="T936">
        <f t="shared" si="84"/>
        <v>6942.75</v>
      </c>
      <c r="U936">
        <f t="shared" si="85"/>
        <v>1041.4124999999999</v>
      </c>
      <c r="V936">
        <f t="shared" si="86"/>
        <v>5901.3374999999996</v>
      </c>
      <c r="W936">
        <f t="shared" si="87"/>
        <v>6</v>
      </c>
      <c r="X936">
        <f t="shared" si="88"/>
        <v>-1041.4125000000004</v>
      </c>
      <c r="Y936">
        <f t="shared" si="89"/>
        <v>0</v>
      </c>
    </row>
    <row r="937" spans="1:25" x14ac:dyDescent="0.35">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c r="T937">
        <f t="shared" si="84"/>
        <v>176.17</v>
      </c>
      <c r="U937">
        <f t="shared" si="85"/>
        <v>8.8085000000000004</v>
      </c>
      <c r="V937">
        <f t="shared" si="86"/>
        <v>167.36149999999998</v>
      </c>
      <c r="W937">
        <f t="shared" si="87"/>
        <v>3</v>
      </c>
      <c r="X937">
        <f t="shared" si="88"/>
        <v>-8.8085000000000093</v>
      </c>
      <c r="Y937">
        <f t="shared" si="89"/>
        <v>0</v>
      </c>
    </row>
    <row r="938" spans="1:25" x14ac:dyDescent="0.35">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c r="T938">
        <f t="shared" si="84"/>
        <v>71.239999999999995</v>
      </c>
      <c r="U938">
        <f t="shared" si="85"/>
        <v>7.1239999999999997</v>
      </c>
      <c r="V938">
        <f t="shared" si="86"/>
        <v>64.116</v>
      </c>
      <c r="W938">
        <f t="shared" si="87"/>
        <v>6</v>
      </c>
      <c r="X938">
        <f t="shared" si="88"/>
        <v>-7.1239999999999952</v>
      </c>
      <c r="Y938">
        <f t="shared" si="89"/>
        <v>0</v>
      </c>
    </row>
    <row r="939" spans="1:25" x14ac:dyDescent="0.35">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c r="T939">
        <f t="shared" si="84"/>
        <v>374.58</v>
      </c>
      <c r="U939">
        <f t="shared" si="85"/>
        <v>0</v>
      </c>
      <c r="V939">
        <f t="shared" si="86"/>
        <v>374.58</v>
      </c>
      <c r="W939">
        <f t="shared" si="87"/>
        <v>8</v>
      </c>
      <c r="X939">
        <f t="shared" si="88"/>
        <v>0</v>
      </c>
      <c r="Y939">
        <f t="shared" si="89"/>
        <v>0</v>
      </c>
    </row>
    <row r="940" spans="1:25" x14ac:dyDescent="0.35">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c r="T940">
        <f t="shared" si="84"/>
        <v>3989.23</v>
      </c>
      <c r="U940">
        <f t="shared" si="85"/>
        <v>398.923</v>
      </c>
      <c r="V940">
        <f t="shared" si="86"/>
        <v>3590.3069999999998</v>
      </c>
      <c r="W940">
        <f t="shared" si="87"/>
        <v>4</v>
      </c>
      <c r="X940">
        <f t="shared" si="88"/>
        <v>-398.92300000000023</v>
      </c>
      <c r="Y940">
        <f t="shared" si="89"/>
        <v>0</v>
      </c>
    </row>
    <row r="941" spans="1:25" x14ac:dyDescent="0.35">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c r="T941">
        <f t="shared" si="84"/>
        <v>170.3</v>
      </c>
      <c r="U941">
        <f t="shared" si="85"/>
        <v>8.5150000000000006</v>
      </c>
      <c r="V941">
        <f t="shared" si="86"/>
        <v>161.78500000000003</v>
      </c>
      <c r="W941">
        <f t="shared" si="87"/>
        <v>10</v>
      </c>
      <c r="X941">
        <f t="shared" si="88"/>
        <v>-8.5149999999999864</v>
      </c>
      <c r="Y941">
        <f t="shared" si="89"/>
        <v>0</v>
      </c>
    </row>
    <row r="942" spans="1:25" x14ac:dyDescent="0.35">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c r="T942">
        <f t="shared" si="84"/>
        <v>8544.2000000000007</v>
      </c>
      <c r="U942">
        <f t="shared" si="85"/>
        <v>854.42000000000007</v>
      </c>
      <c r="V942">
        <f t="shared" si="86"/>
        <v>7689.7800000000007</v>
      </c>
      <c r="W942">
        <f t="shared" si="87"/>
        <v>5</v>
      </c>
      <c r="X942">
        <f t="shared" si="88"/>
        <v>-854.42000000000007</v>
      </c>
      <c r="Y942">
        <f t="shared" si="89"/>
        <v>0</v>
      </c>
    </row>
    <row r="943" spans="1:25" x14ac:dyDescent="0.35">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c r="T943">
        <f t="shared" si="84"/>
        <v>269.15999999999997</v>
      </c>
      <c r="U943">
        <f t="shared" si="85"/>
        <v>26.915999999999997</v>
      </c>
      <c r="V943">
        <f t="shared" si="86"/>
        <v>242.24399999999997</v>
      </c>
      <c r="W943">
        <f t="shared" si="87"/>
        <v>8</v>
      </c>
      <c r="X943">
        <f t="shared" si="88"/>
        <v>-26.915999999999997</v>
      </c>
      <c r="Y943">
        <f t="shared" si="89"/>
        <v>0</v>
      </c>
    </row>
    <row r="944" spans="1:25" x14ac:dyDescent="0.35">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c r="T944">
        <f t="shared" si="84"/>
        <v>7263.5399999999991</v>
      </c>
      <c r="U944">
        <f t="shared" si="85"/>
        <v>726.35399999999993</v>
      </c>
      <c r="V944">
        <f t="shared" si="86"/>
        <v>6537.1859999999988</v>
      </c>
      <c r="W944">
        <f t="shared" si="87"/>
        <v>3</v>
      </c>
      <c r="X944">
        <f t="shared" si="88"/>
        <v>-726.35400000000027</v>
      </c>
      <c r="Y944">
        <f t="shared" si="89"/>
        <v>0</v>
      </c>
    </row>
    <row r="945" spans="1:25" x14ac:dyDescent="0.35">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c r="T945">
        <f t="shared" si="84"/>
        <v>389.94</v>
      </c>
      <c r="U945">
        <f t="shared" si="85"/>
        <v>0</v>
      </c>
      <c r="V945">
        <f t="shared" si="86"/>
        <v>389.94</v>
      </c>
      <c r="W945">
        <f t="shared" si="87"/>
        <v>10</v>
      </c>
      <c r="X945">
        <f t="shared" si="88"/>
        <v>0</v>
      </c>
      <c r="Y945">
        <f t="shared" si="89"/>
        <v>0</v>
      </c>
    </row>
    <row r="946" spans="1:25" x14ac:dyDescent="0.35">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c r="T946">
        <f t="shared" si="84"/>
        <v>2062.92</v>
      </c>
      <c r="U946">
        <f t="shared" si="85"/>
        <v>103.14600000000002</v>
      </c>
      <c r="V946">
        <f t="shared" si="86"/>
        <v>1959.7740000000001</v>
      </c>
      <c r="W946">
        <f t="shared" si="87"/>
        <v>10</v>
      </c>
      <c r="X946">
        <f t="shared" si="88"/>
        <v>-103.14599999999996</v>
      </c>
      <c r="Y946">
        <f t="shared" si="89"/>
        <v>0</v>
      </c>
    </row>
    <row r="947" spans="1:25" x14ac:dyDescent="0.35">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c r="T947">
        <f t="shared" si="84"/>
        <v>9109.9599999999991</v>
      </c>
      <c r="U947">
        <f t="shared" si="85"/>
        <v>455.49799999999999</v>
      </c>
      <c r="V947">
        <f t="shared" si="86"/>
        <v>8654.4619999999995</v>
      </c>
      <c r="W947">
        <f t="shared" si="87"/>
        <v>10</v>
      </c>
      <c r="X947">
        <f t="shared" si="88"/>
        <v>-455.49799999999959</v>
      </c>
      <c r="Y947">
        <f t="shared" si="89"/>
        <v>0</v>
      </c>
    </row>
    <row r="948" spans="1:25" x14ac:dyDescent="0.35">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c r="T948">
        <f t="shared" si="84"/>
        <v>2977.56</v>
      </c>
      <c r="U948">
        <f t="shared" si="85"/>
        <v>148.87800000000001</v>
      </c>
      <c r="V948">
        <f t="shared" si="86"/>
        <v>2828.6819999999998</v>
      </c>
      <c r="W948">
        <f t="shared" si="87"/>
        <v>6</v>
      </c>
      <c r="X948">
        <f t="shared" si="88"/>
        <v>-148.87800000000016</v>
      </c>
      <c r="Y948">
        <f t="shared" si="89"/>
        <v>0</v>
      </c>
    </row>
    <row r="949" spans="1:25" x14ac:dyDescent="0.35">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c r="T949">
        <f t="shared" si="84"/>
        <v>964.2</v>
      </c>
      <c r="U949">
        <f t="shared" si="85"/>
        <v>0</v>
      </c>
      <c r="V949">
        <f t="shared" si="86"/>
        <v>964.2</v>
      </c>
      <c r="W949">
        <f t="shared" si="87"/>
        <v>5</v>
      </c>
      <c r="X949">
        <f t="shared" si="88"/>
        <v>0</v>
      </c>
      <c r="Y949">
        <f t="shared" si="89"/>
        <v>0</v>
      </c>
    </row>
    <row r="950" spans="1:25" x14ac:dyDescent="0.35">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c r="T950">
        <f t="shared" si="84"/>
        <v>6876.18</v>
      </c>
      <c r="U950">
        <f t="shared" si="85"/>
        <v>687.61800000000005</v>
      </c>
      <c r="V950">
        <f t="shared" si="86"/>
        <v>6188.5619999999999</v>
      </c>
      <c r="W950">
        <f t="shared" si="87"/>
        <v>4</v>
      </c>
      <c r="X950">
        <f t="shared" si="88"/>
        <v>-687.61800000000039</v>
      </c>
      <c r="Y950">
        <f t="shared" si="89"/>
        <v>0</v>
      </c>
    </row>
    <row r="951" spans="1:25" x14ac:dyDescent="0.35">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c r="T951">
        <f t="shared" si="84"/>
        <v>1767.7399999999998</v>
      </c>
      <c r="U951">
        <f t="shared" si="85"/>
        <v>0</v>
      </c>
      <c r="V951">
        <f t="shared" si="86"/>
        <v>1767.7399999999998</v>
      </c>
      <c r="W951">
        <f t="shared" si="87"/>
        <v>8</v>
      </c>
      <c r="X951">
        <f t="shared" si="88"/>
        <v>0</v>
      </c>
      <c r="Y951">
        <f t="shared" si="89"/>
        <v>0</v>
      </c>
    </row>
    <row r="952" spans="1:25" x14ac:dyDescent="0.35">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c r="T952">
        <f t="shared" si="84"/>
        <v>5062.8599999999997</v>
      </c>
      <c r="U952">
        <f t="shared" si="85"/>
        <v>0</v>
      </c>
      <c r="V952">
        <f t="shared" si="86"/>
        <v>5062.8599999999997</v>
      </c>
      <c r="W952">
        <f t="shared" si="87"/>
        <v>2</v>
      </c>
      <c r="X952">
        <f t="shared" si="88"/>
        <v>0</v>
      </c>
      <c r="Y952">
        <f t="shared" si="89"/>
        <v>0</v>
      </c>
    </row>
    <row r="953" spans="1:25" x14ac:dyDescent="0.35">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c r="T953">
        <f t="shared" si="84"/>
        <v>3056.88</v>
      </c>
      <c r="U953">
        <f t="shared" si="85"/>
        <v>0</v>
      </c>
      <c r="V953">
        <f t="shared" si="86"/>
        <v>3056.88</v>
      </c>
      <c r="W953">
        <f t="shared" si="87"/>
        <v>8</v>
      </c>
      <c r="X953">
        <f t="shared" si="88"/>
        <v>0</v>
      </c>
      <c r="Y953">
        <f t="shared" si="89"/>
        <v>0</v>
      </c>
    </row>
    <row r="954" spans="1:25" x14ac:dyDescent="0.35">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c r="T954">
        <f t="shared" si="84"/>
        <v>1410.27</v>
      </c>
      <c r="U954">
        <f t="shared" si="85"/>
        <v>0</v>
      </c>
      <c r="V954">
        <f t="shared" si="86"/>
        <v>1410.27</v>
      </c>
      <c r="W954">
        <f t="shared" si="87"/>
        <v>4</v>
      </c>
      <c r="X954">
        <f t="shared" si="88"/>
        <v>0</v>
      </c>
      <c r="Y954">
        <f t="shared" si="89"/>
        <v>0</v>
      </c>
    </row>
    <row r="955" spans="1:25" x14ac:dyDescent="0.35">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c r="T955">
        <f t="shared" si="84"/>
        <v>2808</v>
      </c>
      <c r="U955">
        <f t="shared" si="85"/>
        <v>0</v>
      </c>
      <c r="V955">
        <f t="shared" si="86"/>
        <v>2808</v>
      </c>
      <c r="W955">
        <f t="shared" si="87"/>
        <v>6</v>
      </c>
      <c r="X955">
        <f t="shared" si="88"/>
        <v>0</v>
      </c>
      <c r="Y955">
        <f t="shared" si="89"/>
        <v>0</v>
      </c>
    </row>
    <row r="956" spans="1:25" x14ac:dyDescent="0.35">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c r="T956">
        <f t="shared" si="84"/>
        <v>2262.87</v>
      </c>
      <c r="U956">
        <f t="shared" si="85"/>
        <v>226.28700000000001</v>
      </c>
      <c r="V956">
        <f t="shared" si="86"/>
        <v>2036.5829999999999</v>
      </c>
      <c r="W956">
        <f t="shared" si="87"/>
        <v>5</v>
      </c>
      <c r="X956">
        <f t="shared" si="88"/>
        <v>-226.28700000000003</v>
      </c>
      <c r="Y956">
        <f t="shared" si="89"/>
        <v>0</v>
      </c>
    </row>
    <row r="957" spans="1:25" x14ac:dyDescent="0.35">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c r="T957">
        <f t="shared" si="84"/>
        <v>1633.12</v>
      </c>
      <c r="U957">
        <f t="shared" si="85"/>
        <v>244.96799999999996</v>
      </c>
      <c r="V957">
        <f t="shared" si="86"/>
        <v>1388.152</v>
      </c>
      <c r="W957">
        <f t="shared" si="87"/>
        <v>4</v>
      </c>
      <c r="X957">
        <f t="shared" si="88"/>
        <v>-244.96799999999985</v>
      </c>
      <c r="Y957">
        <f t="shared" si="89"/>
        <v>0</v>
      </c>
    </row>
    <row r="958" spans="1:25" x14ac:dyDescent="0.35">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c r="T958">
        <f t="shared" si="84"/>
        <v>54.86</v>
      </c>
      <c r="U958">
        <f t="shared" si="85"/>
        <v>8.2289999999999992</v>
      </c>
      <c r="V958">
        <f t="shared" si="86"/>
        <v>46.631</v>
      </c>
      <c r="W958">
        <f t="shared" si="87"/>
        <v>7</v>
      </c>
      <c r="X958">
        <f t="shared" si="88"/>
        <v>-8.2289999999999992</v>
      </c>
      <c r="Y958">
        <f t="shared" si="89"/>
        <v>0</v>
      </c>
    </row>
    <row r="959" spans="1:25" x14ac:dyDescent="0.35">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c r="T959">
        <f t="shared" si="84"/>
        <v>3538.92</v>
      </c>
      <c r="U959">
        <f t="shared" si="85"/>
        <v>353.89200000000005</v>
      </c>
      <c r="V959">
        <f t="shared" si="86"/>
        <v>3185.0280000000002</v>
      </c>
      <c r="W959">
        <f t="shared" si="87"/>
        <v>3</v>
      </c>
      <c r="X959">
        <f t="shared" si="88"/>
        <v>-353.89199999999983</v>
      </c>
      <c r="Y959">
        <f t="shared" si="89"/>
        <v>0</v>
      </c>
    </row>
    <row r="960" spans="1:25" x14ac:dyDescent="0.35">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c r="T960">
        <f t="shared" si="84"/>
        <v>931.59999999999991</v>
      </c>
      <c r="U960">
        <f t="shared" si="85"/>
        <v>93.16</v>
      </c>
      <c r="V960">
        <f t="shared" si="86"/>
        <v>838.43999999999994</v>
      </c>
      <c r="W960">
        <f t="shared" si="87"/>
        <v>6</v>
      </c>
      <c r="X960">
        <f t="shared" si="88"/>
        <v>-93.159999999999968</v>
      </c>
      <c r="Y960">
        <f t="shared" si="89"/>
        <v>0</v>
      </c>
    </row>
    <row r="961" spans="1:25" x14ac:dyDescent="0.35">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c r="T961">
        <f t="shared" si="84"/>
        <v>1170.8399999999999</v>
      </c>
      <c r="U961">
        <f t="shared" si="85"/>
        <v>0</v>
      </c>
      <c r="V961">
        <f t="shared" si="86"/>
        <v>1170.8399999999999</v>
      </c>
      <c r="W961">
        <f t="shared" si="87"/>
        <v>10</v>
      </c>
      <c r="X961">
        <f t="shared" si="88"/>
        <v>0</v>
      </c>
      <c r="Y961">
        <f t="shared" si="89"/>
        <v>0</v>
      </c>
    </row>
    <row r="962" spans="1:25" x14ac:dyDescent="0.35">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c r="T962">
        <f t="shared" si="84"/>
        <v>2273.7000000000003</v>
      </c>
      <c r="U962">
        <f t="shared" si="85"/>
        <v>341.05500000000001</v>
      </c>
      <c r="V962">
        <f t="shared" si="86"/>
        <v>1932.6450000000002</v>
      </c>
      <c r="W962">
        <f t="shared" si="87"/>
        <v>3</v>
      </c>
      <c r="X962">
        <f t="shared" si="88"/>
        <v>-341.05500000000006</v>
      </c>
      <c r="Y962">
        <f t="shared" si="89"/>
        <v>0</v>
      </c>
    </row>
    <row r="963" spans="1:25" x14ac:dyDescent="0.35">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c r="T963">
        <f t="shared" ref="T963:T1026" si="90">D963*E963</f>
        <v>3353.04</v>
      </c>
      <c r="U963">
        <f t="shared" ref="U963:U1026" si="91">T963*H963</f>
        <v>335.30400000000003</v>
      </c>
      <c r="V963">
        <f t="shared" ref="V963:V1026" si="92">T963-U963</f>
        <v>3017.7359999999999</v>
      </c>
      <c r="W963">
        <f t="shared" ref="W963:W1026" si="93">R963-Q963</f>
        <v>4</v>
      </c>
      <c r="X963">
        <f t="shared" ref="X963:X1026" si="94">V963-(E963*D963)</f>
        <v>-335.30400000000009</v>
      </c>
      <c r="Y963">
        <f t="shared" ref="Y963:Y1026" si="95">IF(M963 = "Yes", -V963,0)</f>
        <v>0</v>
      </c>
    </row>
    <row r="964" spans="1:25" x14ac:dyDescent="0.35">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c r="T964">
        <f t="shared" si="90"/>
        <v>1403.52</v>
      </c>
      <c r="U964">
        <f t="shared" si="91"/>
        <v>0</v>
      </c>
      <c r="V964">
        <f t="shared" si="92"/>
        <v>1403.52</v>
      </c>
      <c r="W964">
        <f t="shared" si="93"/>
        <v>8</v>
      </c>
      <c r="X964">
        <f t="shared" si="94"/>
        <v>0</v>
      </c>
      <c r="Y964">
        <f t="shared" si="95"/>
        <v>0</v>
      </c>
    </row>
    <row r="965" spans="1:25" x14ac:dyDescent="0.35">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c r="T965">
        <f t="shared" si="90"/>
        <v>3560.92</v>
      </c>
      <c r="U965">
        <f t="shared" si="91"/>
        <v>356.09200000000004</v>
      </c>
      <c r="V965">
        <f t="shared" si="92"/>
        <v>3204.828</v>
      </c>
      <c r="W965">
        <f t="shared" si="93"/>
        <v>2</v>
      </c>
      <c r="X965">
        <f t="shared" si="94"/>
        <v>-356.0920000000001</v>
      </c>
      <c r="Y965">
        <f t="shared" si="95"/>
        <v>0</v>
      </c>
    </row>
    <row r="966" spans="1:25" x14ac:dyDescent="0.35">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c r="T966">
        <f t="shared" si="90"/>
        <v>1710.39</v>
      </c>
      <c r="U966">
        <f t="shared" si="91"/>
        <v>85.519500000000008</v>
      </c>
      <c r="V966">
        <f t="shared" si="92"/>
        <v>1624.8705</v>
      </c>
      <c r="W966">
        <f t="shared" si="93"/>
        <v>10</v>
      </c>
      <c r="X966">
        <f t="shared" si="94"/>
        <v>-85.519500000000107</v>
      </c>
      <c r="Y966">
        <f t="shared" si="95"/>
        <v>0</v>
      </c>
    </row>
    <row r="967" spans="1:25" x14ac:dyDescent="0.35">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c r="T967">
        <f t="shared" si="90"/>
        <v>5404</v>
      </c>
      <c r="U967">
        <f t="shared" si="91"/>
        <v>0</v>
      </c>
      <c r="V967">
        <f t="shared" si="92"/>
        <v>5404</v>
      </c>
      <c r="W967">
        <f t="shared" si="93"/>
        <v>9</v>
      </c>
      <c r="X967">
        <f t="shared" si="94"/>
        <v>0</v>
      </c>
      <c r="Y967">
        <f t="shared" si="95"/>
        <v>0</v>
      </c>
    </row>
    <row r="968" spans="1:25" x14ac:dyDescent="0.35">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c r="T968">
        <f t="shared" si="90"/>
        <v>7231.2</v>
      </c>
      <c r="U968">
        <f t="shared" si="91"/>
        <v>723.12</v>
      </c>
      <c r="V968">
        <f t="shared" si="92"/>
        <v>6508.08</v>
      </c>
      <c r="W968">
        <f t="shared" si="93"/>
        <v>2</v>
      </c>
      <c r="X968">
        <f t="shared" si="94"/>
        <v>-723.11999999999989</v>
      </c>
      <c r="Y968">
        <f t="shared" si="95"/>
        <v>0</v>
      </c>
    </row>
    <row r="969" spans="1:25" x14ac:dyDescent="0.35">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c r="T969">
        <f t="shared" si="90"/>
        <v>4746.6099999999997</v>
      </c>
      <c r="U969">
        <f t="shared" si="91"/>
        <v>474.661</v>
      </c>
      <c r="V969">
        <f t="shared" si="92"/>
        <v>4271.9489999999996</v>
      </c>
      <c r="W969">
        <f t="shared" si="93"/>
        <v>7</v>
      </c>
      <c r="X969">
        <f t="shared" si="94"/>
        <v>-474.66100000000006</v>
      </c>
      <c r="Y969">
        <f t="shared" si="95"/>
        <v>0</v>
      </c>
    </row>
    <row r="970" spans="1:25" x14ac:dyDescent="0.35">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c r="T970">
        <f t="shared" si="90"/>
        <v>1513.8</v>
      </c>
      <c r="U970">
        <f t="shared" si="91"/>
        <v>0</v>
      </c>
      <c r="V970">
        <f t="shared" si="92"/>
        <v>1513.8</v>
      </c>
      <c r="W970">
        <f t="shared" si="93"/>
        <v>6</v>
      </c>
      <c r="X970">
        <f t="shared" si="94"/>
        <v>0</v>
      </c>
      <c r="Y970">
        <f t="shared" si="95"/>
        <v>0</v>
      </c>
    </row>
    <row r="971" spans="1:25" x14ac:dyDescent="0.35">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c r="T971">
        <f t="shared" si="90"/>
        <v>6553.4800000000005</v>
      </c>
      <c r="U971">
        <f t="shared" si="91"/>
        <v>0</v>
      </c>
      <c r="V971">
        <f t="shared" si="92"/>
        <v>6553.4800000000005</v>
      </c>
      <c r="W971">
        <f t="shared" si="93"/>
        <v>9</v>
      </c>
      <c r="X971">
        <f t="shared" si="94"/>
        <v>0</v>
      </c>
      <c r="Y971">
        <f t="shared" si="95"/>
        <v>0</v>
      </c>
    </row>
    <row r="972" spans="1:25" x14ac:dyDescent="0.35">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c r="T972">
        <f t="shared" si="90"/>
        <v>3580.22</v>
      </c>
      <c r="U972">
        <f t="shared" si="91"/>
        <v>358.02199999999999</v>
      </c>
      <c r="V972">
        <f t="shared" si="92"/>
        <v>3222.1979999999999</v>
      </c>
      <c r="W972">
        <f t="shared" si="93"/>
        <v>9</v>
      </c>
      <c r="X972">
        <f t="shared" si="94"/>
        <v>-358.02199999999993</v>
      </c>
      <c r="Y972">
        <f t="shared" si="95"/>
        <v>0</v>
      </c>
    </row>
    <row r="973" spans="1:25" x14ac:dyDescent="0.35">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c r="T973">
        <f t="shared" si="90"/>
        <v>1054.2</v>
      </c>
      <c r="U973">
        <f t="shared" si="91"/>
        <v>158.13</v>
      </c>
      <c r="V973">
        <f t="shared" si="92"/>
        <v>896.07</v>
      </c>
      <c r="W973">
        <f t="shared" si="93"/>
        <v>7</v>
      </c>
      <c r="X973">
        <f t="shared" si="94"/>
        <v>-158.13</v>
      </c>
      <c r="Y973">
        <f t="shared" si="95"/>
        <v>0</v>
      </c>
    </row>
    <row r="974" spans="1:25" x14ac:dyDescent="0.35">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c r="T974">
        <f t="shared" si="90"/>
        <v>1264.1600000000001</v>
      </c>
      <c r="U974">
        <f t="shared" si="91"/>
        <v>189.624</v>
      </c>
      <c r="V974">
        <f t="shared" si="92"/>
        <v>1074.5360000000001</v>
      </c>
      <c r="W974">
        <f t="shared" si="93"/>
        <v>5</v>
      </c>
      <c r="X974">
        <f t="shared" si="94"/>
        <v>-189.62400000000002</v>
      </c>
      <c r="Y974">
        <f t="shared" si="95"/>
        <v>0</v>
      </c>
    </row>
    <row r="975" spans="1:25" x14ac:dyDescent="0.35">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c r="T975">
        <f t="shared" si="90"/>
        <v>1072.3599999999999</v>
      </c>
      <c r="U975">
        <f t="shared" si="91"/>
        <v>107.23599999999999</v>
      </c>
      <c r="V975">
        <f t="shared" si="92"/>
        <v>965.12399999999991</v>
      </c>
      <c r="W975">
        <f t="shared" si="93"/>
        <v>3</v>
      </c>
      <c r="X975">
        <f t="shared" si="94"/>
        <v>-107.23599999999999</v>
      </c>
      <c r="Y975">
        <f t="shared" si="95"/>
        <v>0</v>
      </c>
    </row>
    <row r="976" spans="1:25" x14ac:dyDescent="0.35">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c r="T976">
        <f t="shared" si="90"/>
        <v>9140.16</v>
      </c>
      <c r="U976">
        <f t="shared" si="91"/>
        <v>1371.0239999999999</v>
      </c>
      <c r="V976">
        <f t="shared" si="92"/>
        <v>7769.1360000000004</v>
      </c>
      <c r="W976">
        <f t="shared" si="93"/>
        <v>9</v>
      </c>
      <c r="X976">
        <f t="shared" si="94"/>
        <v>-1371.0239999999994</v>
      </c>
      <c r="Y976">
        <f t="shared" si="95"/>
        <v>0</v>
      </c>
    </row>
    <row r="977" spans="1:25" x14ac:dyDescent="0.35">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c r="T977">
        <f t="shared" si="90"/>
        <v>1613.04</v>
      </c>
      <c r="U977">
        <f t="shared" si="91"/>
        <v>161.304</v>
      </c>
      <c r="V977">
        <f t="shared" si="92"/>
        <v>1451.7359999999999</v>
      </c>
      <c r="W977">
        <f t="shared" si="93"/>
        <v>6</v>
      </c>
      <c r="X977">
        <f t="shared" si="94"/>
        <v>-161.30400000000009</v>
      </c>
      <c r="Y977">
        <f t="shared" si="95"/>
        <v>0</v>
      </c>
    </row>
    <row r="978" spans="1:25" x14ac:dyDescent="0.35">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c r="T978">
        <f t="shared" si="90"/>
        <v>2818.5</v>
      </c>
      <c r="U978">
        <f t="shared" si="91"/>
        <v>0</v>
      </c>
      <c r="V978">
        <f t="shared" si="92"/>
        <v>2818.5</v>
      </c>
      <c r="W978">
        <f t="shared" si="93"/>
        <v>7</v>
      </c>
      <c r="X978">
        <f t="shared" si="94"/>
        <v>0</v>
      </c>
      <c r="Y978">
        <f t="shared" si="95"/>
        <v>0</v>
      </c>
    </row>
    <row r="979" spans="1:25" x14ac:dyDescent="0.35">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c r="T979">
        <f t="shared" si="90"/>
        <v>6012.27</v>
      </c>
      <c r="U979">
        <f t="shared" si="91"/>
        <v>901.84050000000002</v>
      </c>
      <c r="V979">
        <f t="shared" si="92"/>
        <v>5110.4295000000002</v>
      </c>
      <c r="W979">
        <f t="shared" si="93"/>
        <v>2</v>
      </c>
      <c r="X979">
        <f t="shared" si="94"/>
        <v>-901.84050000000025</v>
      </c>
      <c r="Y979">
        <f t="shared" si="95"/>
        <v>0</v>
      </c>
    </row>
    <row r="980" spans="1:25" x14ac:dyDescent="0.35">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c r="T980">
        <f t="shared" si="90"/>
        <v>3283.92</v>
      </c>
      <c r="U980">
        <f t="shared" si="91"/>
        <v>164.19600000000003</v>
      </c>
      <c r="V980">
        <f t="shared" si="92"/>
        <v>3119.7240000000002</v>
      </c>
      <c r="W980">
        <f t="shared" si="93"/>
        <v>10</v>
      </c>
      <c r="X980">
        <f t="shared" si="94"/>
        <v>-164.19599999999991</v>
      </c>
      <c r="Y980">
        <f t="shared" si="95"/>
        <v>0</v>
      </c>
    </row>
    <row r="981" spans="1:25" x14ac:dyDescent="0.35">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c r="T981">
        <f t="shared" si="90"/>
        <v>2577.89</v>
      </c>
      <c r="U981">
        <f t="shared" si="91"/>
        <v>386.68349999999998</v>
      </c>
      <c r="V981">
        <f t="shared" si="92"/>
        <v>2191.2064999999998</v>
      </c>
      <c r="W981">
        <f t="shared" si="93"/>
        <v>10</v>
      </c>
      <c r="X981">
        <f t="shared" si="94"/>
        <v>-386.68350000000009</v>
      </c>
      <c r="Y981">
        <f t="shared" si="95"/>
        <v>0</v>
      </c>
    </row>
    <row r="982" spans="1:25" x14ac:dyDescent="0.35">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c r="T982">
        <f t="shared" si="90"/>
        <v>10745.599999999999</v>
      </c>
      <c r="U982">
        <f t="shared" si="91"/>
        <v>0</v>
      </c>
      <c r="V982">
        <f t="shared" si="92"/>
        <v>10745.599999999999</v>
      </c>
      <c r="W982">
        <f t="shared" si="93"/>
        <v>6</v>
      </c>
      <c r="X982">
        <f t="shared" si="94"/>
        <v>0</v>
      </c>
      <c r="Y982">
        <f t="shared" si="95"/>
        <v>0</v>
      </c>
    </row>
    <row r="983" spans="1:25" x14ac:dyDescent="0.35">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c r="T983">
        <f t="shared" si="90"/>
        <v>309.27</v>
      </c>
      <c r="U983">
        <f t="shared" si="91"/>
        <v>0</v>
      </c>
      <c r="V983">
        <f t="shared" si="92"/>
        <v>309.27</v>
      </c>
      <c r="W983">
        <f t="shared" si="93"/>
        <v>4</v>
      </c>
      <c r="X983">
        <f t="shared" si="94"/>
        <v>0</v>
      </c>
      <c r="Y983">
        <f t="shared" si="95"/>
        <v>0</v>
      </c>
    </row>
    <row r="984" spans="1:25" x14ac:dyDescent="0.35">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c r="T984">
        <f t="shared" si="90"/>
        <v>878.04</v>
      </c>
      <c r="U984">
        <f t="shared" si="91"/>
        <v>0</v>
      </c>
      <c r="V984">
        <f t="shared" si="92"/>
        <v>878.04</v>
      </c>
      <c r="W984">
        <f t="shared" si="93"/>
        <v>4</v>
      </c>
      <c r="X984">
        <f t="shared" si="94"/>
        <v>0</v>
      </c>
      <c r="Y984">
        <f t="shared" si="95"/>
        <v>0</v>
      </c>
    </row>
    <row r="985" spans="1:25" x14ac:dyDescent="0.35">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c r="T985">
        <f t="shared" si="90"/>
        <v>3387.5</v>
      </c>
      <c r="U985">
        <f t="shared" si="91"/>
        <v>508.125</v>
      </c>
      <c r="V985">
        <f t="shared" si="92"/>
        <v>2879.375</v>
      </c>
      <c r="W985">
        <f t="shared" si="93"/>
        <v>7</v>
      </c>
      <c r="X985">
        <f t="shared" si="94"/>
        <v>-508.125</v>
      </c>
      <c r="Y985">
        <f t="shared" si="95"/>
        <v>0</v>
      </c>
    </row>
    <row r="986" spans="1:25" x14ac:dyDescent="0.35">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c r="T986">
        <f t="shared" si="90"/>
        <v>478.08</v>
      </c>
      <c r="U986">
        <f t="shared" si="91"/>
        <v>0</v>
      </c>
      <c r="V986">
        <f t="shared" si="92"/>
        <v>478.08</v>
      </c>
      <c r="W986">
        <f t="shared" si="93"/>
        <v>7</v>
      </c>
      <c r="X986">
        <f t="shared" si="94"/>
        <v>0</v>
      </c>
      <c r="Y986">
        <f t="shared" si="95"/>
        <v>0</v>
      </c>
    </row>
    <row r="987" spans="1:25" x14ac:dyDescent="0.35">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c r="T987">
        <f t="shared" si="90"/>
        <v>5074.16</v>
      </c>
      <c r="U987">
        <f t="shared" si="91"/>
        <v>507.416</v>
      </c>
      <c r="V987">
        <f t="shared" si="92"/>
        <v>4566.7439999999997</v>
      </c>
      <c r="W987">
        <f t="shared" si="93"/>
        <v>4</v>
      </c>
      <c r="X987">
        <f t="shared" si="94"/>
        <v>-507.41600000000017</v>
      </c>
      <c r="Y987">
        <f t="shared" si="95"/>
        <v>0</v>
      </c>
    </row>
    <row r="988" spans="1:25" x14ac:dyDescent="0.35">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c r="T988">
        <f t="shared" si="90"/>
        <v>3306.7799999999997</v>
      </c>
      <c r="U988">
        <f t="shared" si="91"/>
        <v>0</v>
      </c>
      <c r="V988">
        <f t="shared" si="92"/>
        <v>3306.7799999999997</v>
      </c>
      <c r="W988">
        <f t="shared" si="93"/>
        <v>9</v>
      </c>
      <c r="X988">
        <f t="shared" si="94"/>
        <v>0</v>
      </c>
      <c r="Y988">
        <f t="shared" si="95"/>
        <v>0</v>
      </c>
    </row>
    <row r="989" spans="1:25" x14ac:dyDescent="0.35">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c r="T989">
        <f t="shared" si="90"/>
        <v>82.06</v>
      </c>
      <c r="U989">
        <f t="shared" si="91"/>
        <v>8.2060000000000013</v>
      </c>
      <c r="V989">
        <f t="shared" si="92"/>
        <v>73.853999999999999</v>
      </c>
      <c r="W989">
        <f t="shared" si="93"/>
        <v>6</v>
      </c>
      <c r="X989">
        <f t="shared" si="94"/>
        <v>-8.2060000000000031</v>
      </c>
      <c r="Y989">
        <f t="shared" si="95"/>
        <v>0</v>
      </c>
    </row>
    <row r="990" spans="1:25" x14ac:dyDescent="0.35">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c r="T990">
        <f t="shared" si="90"/>
        <v>3489.22</v>
      </c>
      <c r="U990">
        <f t="shared" si="91"/>
        <v>523.38299999999992</v>
      </c>
      <c r="V990">
        <f t="shared" si="92"/>
        <v>2965.837</v>
      </c>
      <c r="W990">
        <f t="shared" si="93"/>
        <v>4</v>
      </c>
      <c r="X990">
        <f t="shared" si="94"/>
        <v>-523.38299999999981</v>
      </c>
      <c r="Y990">
        <f t="shared" si="95"/>
        <v>0</v>
      </c>
    </row>
    <row r="991" spans="1:25" x14ac:dyDescent="0.35">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c r="T991">
        <f t="shared" si="90"/>
        <v>506.82</v>
      </c>
      <c r="U991">
        <f t="shared" si="91"/>
        <v>50.682000000000002</v>
      </c>
      <c r="V991">
        <f t="shared" si="92"/>
        <v>456.13799999999998</v>
      </c>
      <c r="W991">
        <f t="shared" si="93"/>
        <v>2</v>
      </c>
      <c r="X991">
        <f t="shared" si="94"/>
        <v>-50.682000000000016</v>
      </c>
      <c r="Y991">
        <f t="shared" si="95"/>
        <v>0</v>
      </c>
    </row>
    <row r="992" spans="1:25" x14ac:dyDescent="0.35">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c r="T992">
        <f t="shared" si="90"/>
        <v>2305.12</v>
      </c>
      <c r="U992">
        <f t="shared" si="91"/>
        <v>230.512</v>
      </c>
      <c r="V992">
        <f t="shared" si="92"/>
        <v>2074.6079999999997</v>
      </c>
      <c r="W992">
        <f t="shared" si="93"/>
        <v>2</v>
      </c>
      <c r="X992">
        <f t="shared" si="94"/>
        <v>-230.51200000000017</v>
      </c>
      <c r="Y992">
        <f t="shared" si="95"/>
        <v>0</v>
      </c>
    </row>
    <row r="993" spans="1:25" x14ac:dyDescent="0.35">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c r="T993">
        <f t="shared" si="90"/>
        <v>2211.9900000000002</v>
      </c>
      <c r="U993">
        <f t="shared" si="91"/>
        <v>331.79850000000005</v>
      </c>
      <c r="V993">
        <f t="shared" si="92"/>
        <v>1880.1915000000001</v>
      </c>
      <c r="W993">
        <f t="shared" si="93"/>
        <v>3</v>
      </c>
      <c r="X993">
        <f t="shared" si="94"/>
        <v>-331.7985000000001</v>
      </c>
      <c r="Y993">
        <f t="shared" si="95"/>
        <v>0</v>
      </c>
    </row>
    <row r="994" spans="1:25" x14ac:dyDescent="0.35">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c r="T994">
        <f t="shared" si="90"/>
        <v>6439.9500000000007</v>
      </c>
      <c r="U994">
        <f t="shared" si="91"/>
        <v>643.99500000000012</v>
      </c>
      <c r="V994">
        <f t="shared" si="92"/>
        <v>5795.9550000000008</v>
      </c>
      <c r="W994">
        <f t="shared" si="93"/>
        <v>4</v>
      </c>
      <c r="X994">
        <f t="shared" si="94"/>
        <v>-643.99499999999989</v>
      </c>
      <c r="Y994">
        <f t="shared" si="95"/>
        <v>0</v>
      </c>
    </row>
    <row r="995" spans="1:25" x14ac:dyDescent="0.35">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c r="T995">
        <f t="shared" si="90"/>
        <v>1346.31</v>
      </c>
      <c r="U995">
        <f t="shared" si="91"/>
        <v>0</v>
      </c>
      <c r="V995">
        <f t="shared" si="92"/>
        <v>1346.31</v>
      </c>
      <c r="W995">
        <f t="shared" si="93"/>
        <v>7</v>
      </c>
      <c r="X995">
        <f t="shared" si="94"/>
        <v>0</v>
      </c>
      <c r="Y995">
        <f t="shared" si="95"/>
        <v>0</v>
      </c>
    </row>
    <row r="996" spans="1:25" x14ac:dyDescent="0.35">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c r="T996">
        <f t="shared" si="90"/>
        <v>1659.8700000000001</v>
      </c>
      <c r="U996">
        <f t="shared" si="91"/>
        <v>0</v>
      </c>
      <c r="V996">
        <f t="shared" si="92"/>
        <v>1659.8700000000001</v>
      </c>
      <c r="W996">
        <f t="shared" si="93"/>
        <v>6</v>
      </c>
      <c r="X996">
        <f t="shared" si="94"/>
        <v>0</v>
      </c>
      <c r="Y996">
        <f t="shared" si="95"/>
        <v>0</v>
      </c>
    </row>
    <row r="997" spans="1:25" x14ac:dyDescent="0.35">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c r="T997">
        <f t="shared" si="90"/>
        <v>9505.6</v>
      </c>
      <c r="U997">
        <f t="shared" si="91"/>
        <v>0</v>
      </c>
      <c r="V997">
        <f t="shared" si="92"/>
        <v>9505.6</v>
      </c>
      <c r="W997">
        <f t="shared" si="93"/>
        <v>8</v>
      </c>
      <c r="X997">
        <f t="shared" si="94"/>
        <v>0</v>
      </c>
      <c r="Y997">
        <f t="shared" si="95"/>
        <v>0</v>
      </c>
    </row>
    <row r="998" spans="1:25" x14ac:dyDescent="0.35">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c r="T998">
        <f t="shared" si="90"/>
        <v>9159.33</v>
      </c>
      <c r="U998">
        <f t="shared" si="91"/>
        <v>915.93299999999999</v>
      </c>
      <c r="V998">
        <f t="shared" si="92"/>
        <v>8243.3970000000008</v>
      </c>
      <c r="W998">
        <f t="shared" si="93"/>
        <v>6</v>
      </c>
      <c r="X998">
        <f t="shared" si="94"/>
        <v>-915.93299999999908</v>
      </c>
      <c r="Y998">
        <f t="shared" si="95"/>
        <v>0</v>
      </c>
    </row>
    <row r="999" spans="1:25" x14ac:dyDescent="0.35">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c r="T999">
        <f t="shared" si="90"/>
        <v>1509</v>
      </c>
      <c r="U999">
        <f t="shared" si="91"/>
        <v>75.45</v>
      </c>
      <c r="V999">
        <f t="shared" si="92"/>
        <v>1433.55</v>
      </c>
      <c r="W999">
        <f t="shared" si="93"/>
        <v>10</v>
      </c>
      <c r="X999">
        <f t="shared" si="94"/>
        <v>-75.450000000000045</v>
      </c>
      <c r="Y999">
        <f t="shared" si="95"/>
        <v>0</v>
      </c>
    </row>
    <row r="1000" spans="1:25" x14ac:dyDescent="0.35">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c r="T1000">
        <f t="shared" si="90"/>
        <v>988.44</v>
      </c>
      <c r="U1000">
        <f t="shared" si="91"/>
        <v>98.844000000000008</v>
      </c>
      <c r="V1000">
        <f t="shared" si="92"/>
        <v>889.596</v>
      </c>
      <c r="W1000">
        <f t="shared" si="93"/>
        <v>5</v>
      </c>
      <c r="X1000">
        <f t="shared" si="94"/>
        <v>-98.844000000000051</v>
      </c>
      <c r="Y1000">
        <f t="shared" si="95"/>
        <v>0</v>
      </c>
    </row>
    <row r="1001" spans="1:25" x14ac:dyDescent="0.35">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c r="T1001">
        <f t="shared" si="90"/>
        <v>1692.3</v>
      </c>
      <c r="U1001">
        <f t="shared" si="91"/>
        <v>84.615000000000009</v>
      </c>
      <c r="V1001">
        <f t="shared" si="92"/>
        <v>1607.6849999999999</v>
      </c>
      <c r="W1001">
        <f t="shared" si="93"/>
        <v>9</v>
      </c>
      <c r="X1001">
        <f t="shared" si="94"/>
        <v>-84.615000000000009</v>
      </c>
      <c r="Y1001">
        <f t="shared" si="95"/>
        <v>0</v>
      </c>
    </row>
    <row r="1002" spans="1:25" x14ac:dyDescent="0.35">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c r="T1002">
        <f t="shared" si="90"/>
        <v>364.68</v>
      </c>
      <c r="U1002">
        <f t="shared" si="91"/>
        <v>0</v>
      </c>
      <c r="V1002">
        <f t="shared" si="92"/>
        <v>364.68</v>
      </c>
      <c r="W1002">
        <f t="shared" si="93"/>
        <v>7</v>
      </c>
      <c r="X1002">
        <f t="shared" si="94"/>
        <v>0</v>
      </c>
      <c r="Y1002">
        <f t="shared" si="95"/>
        <v>0</v>
      </c>
    </row>
    <row r="1003" spans="1:25" x14ac:dyDescent="0.35">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c r="T1003">
        <f t="shared" si="90"/>
        <v>5591.28</v>
      </c>
      <c r="U1003">
        <f t="shared" si="91"/>
        <v>0</v>
      </c>
      <c r="V1003">
        <f t="shared" si="92"/>
        <v>5591.28</v>
      </c>
      <c r="W1003">
        <f t="shared" si="93"/>
        <v>4</v>
      </c>
      <c r="X1003">
        <f t="shared" si="94"/>
        <v>0</v>
      </c>
      <c r="Y1003">
        <f t="shared" si="95"/>
        <v>0</v>
      </c>
    </row>
    <row r="1004" spans="1:25" x14ac:dyDescent="0.35">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c r="T1004">
        <f t="shared" si="90"/>
        <v>2253.6000000000004</v>
      </c>
      <c r="U1004">
        <f t="shared" si="91"/>
        <v>338.04</v>
      </c>
      <c r="V1004">
        <f t="shared" si="92"/>
        <v>1915.5600000000004</v>
      </c>
      <c r="W1004">
        <f t="shared" si="93"/>
        <v>3</v>
      </c>
      <c r="X1004">
        <f t="shared" si="94"/>
        <v>-338.03999999999996</v>
      </c>
      <c r="Y1004">
        <f t="shared" si="95"/>
        <v>0</v>
      </c>
    </row>
    <row r="1005" spans="1:25" x14ac:dyDescent="0.35">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c r="T1005">
        <f t="shared" si="90"/>
        <v>561.29999999999995</v>
      </c>
      <c r="U1005">
        <f t="shared" si="91"/>
        <v>84.194999999999993</v>
      </c>
      <c r="V1005">
        <f t="shared" si="92"/>
        <v>477.10499999999996</v>
      </c>
      <c r="W1005">
        <f t="shared" si="93"/>
        <v>9</v>
      </c>
      <c r="X1005">
        <f t="shared" si="94"/>
        <v>-84.194999999999993</v>
      </c>
      <c r="Y1005">
        <f t="shared" si="95"/>
        <v>0</v>
      </c>
    </row>
    <row r="1006" spans="1:25" x14ac:dyDescent="0.35">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c r="T1006">
        <f t="shared" si="90"/>
        <v>1247.82</v>
      </c>
      <c r="U1006">
        <f t="shared" si="91"/>
        <v>187.17299999999997</v>
      </c>
      <c r="V1006">
        <f t="shared" si="92"/>
        <v>1060.6469999999999</v>
      </c>
      <c r="W1006">
        <f t="shared" si="93"/>
        <v>7</v>
      </c>
      <c r="X1006">
        <f t="shared" si="94"/>
        <v>-187.173</v>
      </c>
      <c r="Y1006">
        <f t="shared" si="95"/>
        <v>0</v>
      </c>
    </row>
    <row r="1007" spans="1:25" x14ac:dyDescent="0.35">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c r="T1007">
        <f t="shared" si="90"/>
        <v>11056.6</v>
      </c>
      <c r="U1007">
        <f t="shared" si="91"/>
        <v>1658.49</v>
      </c>
      <c r="V1007">
        <f t="shared" si="92"/>
        <v>9398.11</v>
      </c>
      <c r="W1007">
        <f t="shared" si="93"/>
        <v>2</v>
      </c>
      <c r="X1007">
        <f t="shared" si="94"/>
        <v>-1658.4899999999998</v>
      </c>
      <c r="Y1007">
        <f t="shared" si="95"/>
        <v>0</v>
      </c>
    </row>
    <row r="1008" spans="1:25" x14ac:dyDescent="0.35">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c r="T1008">
        <f t="shared" si="90"/>
        <v>916.5</v>
      </c>
      <c r="U1008">
        <f t="shared" si="91"/>
        <v>0</v>
      </c>
      <c r="V1008">
        <f t="shared" si="92"/>
        <v>916.5</v>
      </c>
      <c r="W1008">
        <f t="shared" si="93"/>
        <v>9</v>
      </c>
      <c r="X1008">
        <f t="shared" si="94"/>
        <v>0</v>
      </c>
      <c r="Y1008">
        <f t="shared" si="95"/>
        <v>0</v>
      </c>
    </row>
    <row r="1009" spans="1:25" x14ac:dyDescent="0.35">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c r="T1009">
        <f t="shared" si="90"/>
        <v>258.86</v>
      </c>
      <c r="U1009">
        <f t="shared" si="91"/>
        <v>12.943000000000001</v>
      </c>
      <c r="V1009">
        <f t="shared" si="92"/>
        <v>245.917</v>
      </c>
      <c r="W1009">
        <f t="shared" si="93"/>
        <v>3</v>
      </c>
      <c r="X1009">
        <f t="shared" si="94"/>
        <v>-12.943000000000012</v>
      </c>
      <c r="Y1009">
        <f t="shared" si="95"/>
        <v>0</v>
      </c>
    </row>
    <row r="1010" spans="1:25" x14ac:dyDescent="0.35">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c r="T1010">
        <f t="shared" si="90"/>
        <v>8515.99</v>
      </c>
      <c r="U1010">
        <f t="shared" si="91"/>
        <v>851.59900000000005</v>
      </c>
      <c r="V1010">
        <f t="shared" si="92"/>
        <v>7664.3909999999996</v>
      </c>
      <c r="W1010">
        <f t="shared" si="93"/>
        <v>5</v>
      </c>
      <c r="X1010">
        <f t="shared" si="94"/>
        <v>-851.59900000000016</v>
      </c>
      <c r="Y1010">
        <f t="shared" si="95"/>
        <v>0</v>
      </c>
    </row>
    <row r="1011" spans="1:25" x14ac:dyDescent="0.35">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c r="T1011">
        <f t="shared" si="90"/>
        <v>7047.68</v>
      </c>
      <c r="U1011">
        <f t="shared" si="91"/>
        <v>352.38400000000001</v>
      </c>
      <c r="V1011">
        <f t="shared" si="92"/>
        <v>6695.2960000000003</v>
      </c>
      <c r="W1011">
        <f t="shared" si="93"/>
        <v>7</v>
      </c>
      <c r="X1011">
        <f t="shared" si="94"/>
        <v>-352.38400000000001</v>
      </c>
      <c r="Y1011">
        <f t="shared" si="95"/>
        <v>0</v>
      </c>
    </row>
    <row r="1012" spans="1:25" x14ac:dyDescent="0.35">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c r="T1012">
        <f t="shared" si="90"/>
        <v>2100.96</v>
      </c>
      <c r="U1012">
        <f t="shared" si="91"/>
        <v>0</v>
      </c>
      <c r="V1012">
        <f t="shared" si="92"/>
        <v>2100.96</v>
      </c>
      <c r="W1012">
        <f t="shared" si="93"/>
        <v>5</v>
      </c>
      <c r="X1012">
        <f t="shared" si="94"/>
        <v>0</v>
      </c>
      <c r="Y1012">
        <f t="shared" si="95"/>
        <v>0</v>
      </c>
    </row>
    <row r="1013" spans="1:25" x14ac:dyDescent="0.35">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c r="T1013">
        <f t="shared" si="90"/>
        <v>1873.6499999999999</v>
      </c>
      <c r="U1013">
        <f t="shared" si="91"/>
        <v>187.36500000000001</v>
      </c>
      <c r="V1013">
        <f t="shared" si="92"/>
        <v>1686.2849999999999</v>
      </c>
      <c r="W1013">
        <f t="shared" si="93"/>
        <v>8</v>
      </c>
      <c r="X1013">
        <f t="shared" si="94"/>
        <v>-187.36500000000001</v>
      </c>
      <c r="Y1013">
        <f t="shared" si="95"/>
        <v>0</v>
      </c>
    </row>
    <row r="1014" spans="1:25" x14ac:dyDescent="0.35">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c r="T1014">
        <f t="shared" si="90"/>
        <v>3519</v>
      </c>
      <c r="U1014">
        <f t="shared" si="91"/>
        <v>351.90000000000003</v>
      </c>
      <c r="V1014">
        <f t="shared" si="92"/>
        <v>3167.1</v>
      </c>
      <c r="W1014">
        <f t="shared" si="93"/>
        <v>4</v>
      </c>
      <c r="X1014">
        <f t="shared" si="94"/>
        <v>-351.90000000000009</v>
      </c>
      <c r="Y1014">
        <f t="shared" si="95"/>
        <v>0</v>
      </c>
    </row>
    <row r="1015" spans="1:25" x14ac:dyDescent="0.35">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c r="T1015">
        <f t="shared" si="90"/>
        <v>2449.8000000000002</v>
      </c>
      <c r="U1015">
        <f t="shared" si="91"/>
        <v>122.49000000000001</v>
      </c>
      <c r="V1015">
        <f t="shared" si="92"/>
        <v>2327.3100000000004</v>
      </c>
      <c r="W1015">
        <f t="shared" si="93"/>
        <v>8</v>
      </c>
      <c r="X1015">
        <f t="shared" si="94"/>
        <v>-122.48999999999978</v>
      </c>
      <c r="Y1015">
        <f t="shared" si="95"/>
        <v>0</v>
      </c>
    </row>
    <row r="1016" spans="1:25" x14ac:dyDescent="0.35">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c r="T1016">
        <f t="shared" si="90"/>
        <v>272.8</v>
      </c>
      <c r="U1016">
        <f t="shared" si="91"/>
        <v>40.92</v>
      </c>
      <c r="V1016">
        <f t="shared" si="92"/>
        <v>231.88</v>
      </c>
      <c r="W1016">
        <f t="shared" si="93"/>
        <v>8</v>
      </c>
      <c r="X1016">
        <f t="shared" si="94"/>
        <v>-40.920000000000016</v>
      </c>
      <c r="Y1016">
        <f t="shared" si="95"/>
        <v>0</v>
      </c>
    </row>
    <row r="1017" spans="1:25" x14ac:dyDescent="0.35">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c r="T1017">
        <f t="shared" si="90"/>
        <v>7348.5999999999995</v>
      </c>
      <c r="U1017">
        <f t="shared" si="91"/>
        <v>367.43</v>
      </c>
      <c r="V1017">
        <f t="shared" si="92"/>
        <v>6981.1699999999992</v>
      </c>
      <c r="W1017">
        <f t="shared" si="93"/>
        <v>9</v>
      </c>
      <c r="X1017">
        <f t="shared" si="94"/>
        <v>-367.43000000000029</v>
      </c>
      <c r="Y1017">
        <f t="shared" si="95"/>
        <v>0</v>
      </c>
    </row>
    <row r="1018" spans="1:25" x14ac:dyDescent="0.35">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c r="T1018">
        <f t="shared" si="90"/>
        <v>1151.5999999999999</v>
      </c>
      <c r="U1018">
        <f t="shared" si="91"/>
        <v>115.16</v>
      </c>
      <c r="V1018">
        <f t="shared" si="92"/>
        <v>1036.4399999999998</v>
      </c>
      <c r="W1018">
        <f t="shared" si="93"/>
        <v>6</v>
      </c>
      <c r="X1018">
        <f t="shared" si="94"/>
        <v>-115.16000000000008</v>
      </c>
      <c r="Y1018">
        <f t="shared" si="95"/>
        <v>0</v>
      </c>
    </row>
    <row r="1019" spans="1:25" x14ac:dyDescent="0.35">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c r="T1019">
        <f t="shared" si="90"/>
        <v>1153.68</v>
      </c>
      <c r="U1019">
        <f t="shared" si="91"/>
        <v>115.36800000000001</v>
      </c>
      <c r="V1019">
        <f t="shared" si="92"/>
        <v>1038.3120000000001</v>
      </c>
      <c r="W1019">
        <f t="shared" si="93"/>
        <v>3</v>
      </c>
      <c r="X1019">
        <f t="shared" si="94"/>
        <v>-115.36799999999994</v>
      </c>
      <c r="Y1019">
        <f t="shared" si="95"/>
        <v>0</v>
      </c>
    </row>
    <row r="1020" spans="1:25" x14ac:dyDescent="0.35">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c r="T1020">
        <f t="shared" si="90"/>
        <v>3513.72</v>
      </c>
      <c r="U1020">
        <f t="shared" si="91"/>
        <v>0</v>
      </c>
      <c r="V1020">
        <f t="shared" si="92"/>
        <v>3513.72</v>
      </c>
      <c r="W1020">
        <f t="shared" si="93"/>
        <v>8</v>
      </c>
      <c r="X1020">
        <f t="shared" si="94"/>
        <v>0</v>
      </c>
      <c r="Y1020">
        <f t="shared" si="95"/>
        <v>0</v>
      </c>
    </row>
    <row r="1021" spans="1:25" x14ac:dyDescent="0.35">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c r="T1021">
        <f t="shared" si="90"/>
        <v>2347.8700000000003</v>
      </c>
      <c r="U1021">
        <f t="shared" si="91"/>
        <v>0</v>
      </c>
      <c r="V1021">
        <f t="shared" si="92"/>
        <v>2347.8700000000003</v>
      </c>
      <c r="W1021">
        <f t="shared" si="93"/>
        <v>4</v>
      </c>
      <c r="X1021">
        <f t="shared" si="94"/>
        <v>0</v>
      </c>
      <c r="Y1021">
        <f t="shared" si="95"/>
        <v>0</v>
      </c>
    </row>
    <row r="1022" spans="1:25" x14ac:dyDescent="0.35">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c r="T1022">
        <f t="shared" si="90"/>
        <v>2249.5</v>
      </c>
      <c r="U1022">
        <f t="shared" si="91"/>
        <v>0</v>
      </c>
      <c r="V1022">
        <f t="shared" si="92"/>
        <v>2249.5</v>
      </c>
      <c r="W1022">
        <f t="shared" si="93"/>
        <v>10</v>
      </c>
      <c r="X1022">
        <f t="shared" si="94"/>
        <v>0</v>
      </c>
      <c r="Y1022">
        <f t="shared" si="95"/>
        <v>0</v>
      </c>
    </row>
    <row r="1023" spans="1:25" x14ac:dyDescent="0.35">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c r="T1023">
        <f t="shared" si="90"/>
        <v>542.63</v>
      </c>
      <c r="U1023">
        <f t="shared" si="91"/>
        <v>27.131500000000003</v>
      </c>
      <c r="V1023">
        <f t="shared" si="92"/>
        <v>515.49850000000004</v>
      </c>
      <c r="W1023">
        <f t="shared" si="93"/>
        <v>7</v>
      </c>
      <c r="X1023">
        <f t="shared" si="94"/>
        <v>-27.13149999999996</v>
      </c>
      <c r="Y1023">
        <f t="shared" si="95"/>
        <v>0</v>
      </c>
    </row>
    <row r="1024" spans="1:25" x14ac:dyDescent="0.35">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c r="T1024">
        <f t="shared" si="90"/>
        <v>204.54</v>
      </c>
      <c r="U1024">
        <f t="shared" si="91"/>
        <v>20.454000000000001</v>
      </c>
      <c r="V1024">
        <f t="shared" si="92"/>
        <v>184.08599999999998</v>
      </c>
      <c r="W1024">
        <f t="shared" si="93"/>
        <v>3</v>
      </c>
      <c r="X1024">
        <f t="shared" si="94"/>
        <v>-20.454000000000008</v>
      </c>
      <c r="Y1024">
        <f t="shared" si="95"/>
        <v>0</v>
      </c>
    </row>
    <row r="1025" spans="1:25" x14ac:dyDescent="0.35">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c r="T1025">
        <f t="shared" si="90"/>
        <v>4195.8</v>
      </c>
      <c r="U1025">
        <f t="shared" si="91"/>
        <v>629.37</v>
      </c>
      <c r="V1025">
        <f t="shared" si="92"/>
        <v>3566.4300000000003</v>
      </c>
      <c r="W1025">
        <f t="shared" si="93"/>
        <v>7</v>
      </c>
      <c r="X1025">
        <f t="shared" si="94"/>
        <v>-629.36999999999989</v>
      </c>
      <c r="Y1025">
        <f t="shared" si="95"/>
        <v>0</v>
      </c>
    </row>
    <row r="1026" spans="1:25" x14ac:dyDescent="0.35">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c r="T1026">
        <f t="shared" si="90"/>
        <v>615.16</v>
      </c>
      <c r="U1026">
        <f t="shared" si="91"/>
        <v>92.273999999999987</v>
      </c>
      <c r="V1026">
        <f t="shared" si="92"/>
        <v>522.88599999999997</v>
      </c>
      <c r="W1026">
        <f t="shared" si="93"/>
        <v>9</v>
      </c>
      <c r="X1026">
        <f t="shared" si="94"/>
        <v>-92.274000000000001</v>
      </c>
      <c r="Y1026">
        <f t="shared" si="95"/>
        <v>0</v>
      </c>
    </row>
    <row r="1027" spans="1:25" x14ac:dyDescent="0.35">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c r="T1027">
        <f t="shared" ref="T1027:T1090" si="96">D1027*E1027</f>
        <v>2708.16</v>
      </c>
      <c r="U1027">
        <f t="shared" ref="U1027:U1090" si="97">T1027*H1027</f>
        <v>135.40799999999999</v>
      </c>
      <c r="V1027">
        <f t="shared" ref="V1027:V1090" si="98">T1027-U1027</f>
        <v>2572.752</v>
      </c>
      <c r="W1027">
        <f t="shared" ref="W1027:W1090" si="99">R1027-Q1027</f>
        <v>2</v>
      </c>
      <c r="X1027">
        <f t="shared" ref="X1027:X1090" si="100">V1027-(E1027*D1027)</f>
        <v>-135.4079999999999</v>
      </c>
      <c r="Y1027">
        <f t="shared" ref="Y1027:Y1090" si="101">IF(M1027 = "Yes", -V1027,0)</f>
        <v>0</v>
      </c>
    </row>
    <row r="1028" spans="1:25" x14ac:dyDescent="0.35">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c r="T1028">
        <f t="shared" si="96"/>
        <v>971.2</v>
      </c>
      <c r="U1028">
        <f t="shared" si="97"/>
        <v>48.56</v>
      </c>
      <c r="V1028">
        <f t="shared" si="98"/>
        <v>922.6400000000001</v>
      </c>
      <c r="W1028">
        <f t="shared" si="99"/>
        <v>9</v>
      </c>
      <c r="X1028">
        <f t="shared" si="100"/>
        <v>-48.559999999999945</v>
      </c>
      <c r="Y1028">
        <f t="shared" si="101"/>
        <v>0</v>
      </c>
    </row>
    <row r="1029" spans="1:25" x14ac:dyDescent="0.35">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c r="T1029">
        <f t="shared" si="96"/>
        <v>1642.36</v>
      </c>
      <c r="U1029">
        <f t="shared" si="97"/>
        <v>0</v>
      </c>
      <c r="V1029">
        <f t="shared" si="98"/>
        <v>1642.36</v>
      </c>
      <c r="W1029">
        <f t="shared" si="99"/>
        <v>4</v>
      </c>
      <c r="X1029">
        <f t="shared" si="100"/>
        <v>0</v>
      </c>
      <c r="Y1029">
        <f t="shared" si="101"/>
        <v>0</v>
      </c>
    </row>
    <row r="1030" spans="1:25" x14ac:dyDescent="0.35">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c r="T1030">
        <f t="shared" si="96"/>
        <v>32.79</v>
      </c>
      <c r="U1030">
        <f t="shared" si="97"/>
        <v>4.9184999999999999</v>
      </c>
      <c r="V1030">
        <f t="shared" si="98"/>
        <v>27.871499999999997</v>
      </c>
      <c r="W1030">
        <f t="shared" si="99"/>
        <v>9</v>
      </c>
      <c r="X1030">
        <f t="shared" si="100"/>
        <v>-4.9185000000000016</v>
      </c>
      <c r="Y1030">
        <f t="shared" si="101"/>
        <v>0</v>
      </c>
    </row>
    <row r="1031" spans="1:25" x14ac:dyDescent="0.35">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c r="T1031">
        <f t="shared" si="96"/>
        <v>3003.2</v>
      </c>
      <c r="U1031">
        <f t="shared" si="97"/>
        <v>0</v>
      </c>
      <c r="V1031">
        <f t="shared" si="98"/>
        <v>3003.2</v>
      </c>
      <c r="W1031">
        <f t="shared" si="99"/>
        <v>2</v>
      </c>
      <c r="X1031">
        <f t="shared" si="100"/>
        <v>0</v>
      </c>
      <c r="Y1031">
        <f t="shared" si="101"/>
        <v>0</v>
      </c>
    </row>
    <row r="1032" spans="1:25" x14ac:dyDescent="0.35">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c r="T1032">
        <f t="shared" si="96"/>
        <v>394.41</v>
      </c>
      <c r="U1032">
        <f t="shared" si="97"/>
        <v>39.441000000000003</v>
      </c>
      <c r="V1032">
        <f t="shared" si="98"/>
        <v>354.96900000000005</v>
      </c>
      <c r="W1032">
        <f t="shared" si="99"/>
        <v>5</v>
      </c>
      <c r="X1032">
        <f t="shared" si="100"/>
        <v>-39.440999999999974</v>
      </c>
      <c r="Y1032">
        <f t="shared" si="101"/>
        <v>0</v>
      </c>
    </row>
    <row r="1033" spans="1:25" x14ac:dyDescent="0.35">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c r="T1033">
        <f t="shared" si="96"/>
        <v>3212.2799999999997</v>
      </c>
      <c r="U1033">
        <f t="shared" si="97"/>
        <v>481.84199999999993</v>
      </c>
      <c r="V1033">
        <f t="shared" si="98"/>
        <v>2730.4379999999996</v>
      </c>
      <c r="W1033">
        <f t="shared" si="99"/>
        <v>7</v>
      </c>
      <c r="X1033">
        <f t="shared" si="100"/>
        <v>-481.8420000000001</v>
      </c>
      <c r="Y1033">
        <f t="shared" si="101"/>
        <v>0</v>
      </c>
    </row>
    <row r="1034" spans="1:25" x14ac:dyDescent="0.35">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c r="T1034">
        <f t="shared" si="96"/>
        <v>7748.58</v>
      </c>
      <c r="U1034">
        <f t="shared" si="97"/>
        <v>387.42900000000003</v>
      </c>
      <c r="V1034">
        <f t="shared" si="98"/>
        <v>7361.1509999999998</v>
      </c>
      <c r="W1034">
        <f t="shared" si="99"/>
        <v>4</v>
      </c>
      <c r="X1034">
        <f t="shared" si="100"/>
        <v>-387.42900000000009</v>
      </c>
      <c r="Y1034">
        <f t="shared" si="101"/>
        <v>0</v>
      </c>
    </row>
    <row r="1035" spans="1:25" x14ac:dyDescent="0.35">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c r="T1035">
        <f t="shared" si="96"/>
        <v>1933.28</v>
      </c>
      <c r="U1035">
        <f t="shared" si="97"/>
        <v>96.664000000000001</v>
      </c>
      <c r="V1035">
        <f t="shared" si="98"/>
        <v>1836.616</v>
      </c>
      <c r="W1035">
        <f t="shared" si="99"/>
        <v>2</v>
      </c>
      <c r="X1035">
        <f t="shared" si="100"/>
        <v>-96.663999999999987</v>
      </c>
      <c r="Y1035">
        <f t="shared" si="101"/>
        <v>0</v>
      </c>
    </row>
    <row r="1036" spans="1:25" x14ac:dyDescent="0.35">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c r="T1036">
        <f t="shared" si="96"/>
        <v>276.71000000000004</v>
      </c>
      <c r="U1036">
        <f t="shared" si="97"/>
        <v>27.671000000000006</v>
      </c>
      <c r="V1036">
        <f t="shared" si="98"/>
        <v>249.03900000000004</v>
      </c>
      <c r="W1036">
        <f t="shared" si="99"/>
        <v>6</v>
      </c>
      <c r="X1036">
        <f t="shared" si="100"/>
        <v>-27.670999999999992</v>
      </c>
      <c r="Y1036">
        <f t="shared" si="101"/>
        <v>0</v>
      </c>
    </row>
    <row r="1037" spans="1:25" x14ac:dyDescent="0.35">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c r="T1037">
        <f t="shared" si="96"/>
        <v>448.16</v>
      </c>
      <c r="U1037">
        <f t="shared" si="97"/>
        <v>22.408000000000001</v>
      </c>
      <c r="V1037">
        <f t="shared" si="98"/>
        <v>425.75200000000001</v>
      </c>
      <c r="W1037">
        <f t="shared" si="99"/>
        <v>6</v>
      </c>
      <c r="X1037">
        <f t="shared" si="100"/>
        <v>-22.408000000000015</v>
      </c>
      <c r="Y1037">
        <f t="shared" si="101"/>
        <v>0</v>
      </c>
    </row>
    <row r="1038" spans="1:25" x14ac:dyDescent="0.35">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c r="T1038">
        <f t="shared" si="96"/>
        <v>4202.88</v>
      </c>
      <c r="U1038">
        <f t="shared" si="97"/>
        <v>210.14400000000001</v>
      </c>
      <c r="V1038">
        <f t="shared" si="98"/>
        <v>3992.7359999999999</v>
      </c>
      <c r="W1038">
        <f t="shared" si="99"/>
        <v>3</v>
      </c>
      <c r="X1038">
        <f t="shared" si="100"/>
        <v>-210.14400000000023</v>
      </c>
      <c r="Y1038">
        <f t="shared" si="101"/>
        <v>0</v>
      </c>
    </row>
    <row r="1039" spans="1:25" x14ac:dyDescent="0.35">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c r="T1039">
        <f t="shared" si="96"/>
        <v>796.41</v>
      </c>
      <c r="U1039">
        <f t="shared" si="97"/>
        <v>39.820500000000003</v>
      </c>
      <c r="V1039">
        <f t="shared" si="98"/>
        <v>756.58949999999993</v>
      </c>
      <c r="W1039">
        <f t="shared" si="99"/>
        <v>7</v>
      </c>
      <c r="X1039">
        <f t="shared" si="100"/>
        <v>-39.820500000000038</v>
      </c>
      <c r="Y1039">
        <f t="shared" si="101"/>
        <v>0</v>
      </c>
    </row>
    <row r="1040" spans="1:25" x14ac:dyDescent="0.35">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c r="T1040">
        <f t="shared" si="96"/>
        <v>2782</v>
      </c>
      <c r="U1040">
        <f t="shared" si="97"/>
        <v>139.1</v>
      </c>
      <c r="V1040">
        <f t="shared" si="98"/>
        <v>2642.9</v>
      </c>
      <c r="W1040">
        <f t="shared" si="99"/>
        <v>2</v>
      </c>
      <c r="X1040">
        <f t="shared" si="100"/>
        <v>-139.09999999999991</v>
      </c>
      <c r="Y1040">
        <f t="shared" si="101"/>
        <v>0</v>
      </c>
    </row>
    <row r="1041" spans="1:25" x14ac:dyDescent="0.35">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c r="T1041">
        <f t="shared" si="96"/>
        <v>6124.6500000000005</v>
      </c>
      <c r="U1041">
        <f t="shared" si="97"/>
        <v>612.46500000000003</v>
      </c>
      <c r="V1041">
        <f t="shared" si="98"/>
        <v>5512.1850000000004</v>
      </c>
      <c r="W1041">
        <f t="shared" si="99"/>
        <v>10</v>
      </c>
      <c r="X1041">
        <f t="shared" si="100"/>
        <v>-612.46500000000015</v>
      </c>
      <c r="Y1041">
        <f t="shared" si="101"/>
        <v>0</v>
      </c>
    </row>
    <row r="1042" spans="1:25" x14ac:dyDescent="0.35">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c r="T1042">
        <f t="shared" si="96"/>
        <v>5352.8</v>
      </c>
      <c r="U1042">
        <f t="shared" si="97"/>
        <v>535.28000000000009</v>
      </c>
      <c r="V1042">
        <f t="shared" si="98"/>
        <v>4817.5200000000004</v>
      </c>
      <c r="W1042">
        <f t="shared" si="99"/>
        <v>4</v>
      </c>
      <c r="X1042">
        <f t="shared" si="100"/>
        <v>-535.27999999999975</v>
      </c>
      <c r="Y1042">
        <f t="shared" si="101"/>
        <v>0</v>
      </c>
    </row>
    <row r="1043" spans="1:25" x14ac:dyDescent="0.35">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c r="T1043">
        <f t="shared" si="96"/>
        <v>6649.6</v>
      </c>
      <c r="U1043">
        <f t="shared" si="97"/>
        <v>0</v>
      </c>
      <c r="V1043">
        <f t="shared" si="98"/>
        <v>6649.6</v>
      </c>
      <c r="W1043">
        <f t="shared" si="99"/>
        <v>3</v>
      </c>
      <c r="X1043">
        <f t="shared" si="100"/>
        <v>0</v>
      </c>
      <c r="Y1043">
        <f t="shared" si="101"/>
        <v>0</v>
      </c>
    </row>
    <row r="1044" spans="1:25" x14ac:dyDescent="0.35">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c r="T1044">
        <f t="shared" si="96"/>
        <v>123.4</v>
      </c>
      <c r="U1044">
        <f t="shared" si="97"/>
        <v>0</v>
      </c>
      <c r="V1044">
        <f t="shared" si="98"/>
        <v>123.4</v>
      </c>
      <c r="W1044">
        <f t="shared" si="99"/>
        <v>6</v>
      </c>
      <c r="X1044">
        <f t="shared" si="100"/>
        <v>0</v>
      </c>
      <c r="Y1044">
        <f t="shared" si="101"/>
        <v>0</v>
      </c>
    </row>
    <row r="1045" spans="1:25" x14ac:dyDescent="0.35">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c r="T1045">
        <f t="shared" si="96"/>
        <v>264.78000000000003</v>
      </c>
      <c r="U1045">
        <f t="shared" si="97"/>
        <v>13.239000000000003</v>
      </c>
      <c r="V1045">
        <f t="shared" si="98"/>
        <v>251.54100000000003</v>
      </c>
      <c r="W1045">
        <f t="shared" si="99"/>
        <v>7</v>
      </c>
      <c r="X1045">
        <f t="shared" si="100"/>
        <v>-13.239000000000004</v>
      </c>
      <c r="Y1045">
        <f t="shared" si="101"/>
        <v>0</v>
      </c>
    </row>
    <row r="1046" spans="1:25" x14ac:dyDescent="0.35">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c r="T1046">
        <f t="shared" si="96"/>
        <v>656.63</v>
      </c>
      <c r="U1046">
        <f t="shared" si="97"/>
        <v>65.662999999999997</v>
      </c>
      <c r="V1046">
        <f t="shared" si="98"/>
        <v>590.96699999999998</v>
      </c>
      <c r="W1046">
        <f t="shared" si="99"/>
        <v>7</v>
      </c>
      <c r="X1046">
        <f t="shared" si="100"/>
        <v>-65.663000000000011</v>
      </c>
      <c r="Y1046">
        <f t="shared" si="101"/>
        <v>0</v>
      </c>
    </row>
    <row r="1047" spans="1:25" x14ac:dyDescent="0.35">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c r="T1047">
        <f t="shared" si="96"/>
        <v>2617.8900000000003</v>
      </c>
      <c r="U1047">
        <f t="shared" si="97"/>
        <v>130.89450000000002</v>
      </c>
      <c r="V1047">
        <f t="shared" si="98"/>
        <v>2486.9955000000004</v>
      </c>
      <c r="W1047">
        <f t="shared" si="99"/>
        <v>9</v>
      </c>
      <c r="X1047">
        <f t="shared" si="100"/>
        <v>-130.89449999999988</v>
      </c>
      <c r="Y1047">
        <f t="shared" si="101"/>
        <v>0</v>
      </c>
    </row>
    <row r="1048" spans="1:25" x14ac:dyDescent="0.35">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c r="T1048">
        <f t="shared" si="96"/>
        <v>2064.65</v>
      </c>
      <c r="U1048">
        <f t="shared" si="97"/>
        <v>0</v>
      </c>
      <c r="V1048">
        <f t="shared" si="98"/>
        <v>2064.65</v>
      </c>
      <c r="W1048">
        <f t="shared" si="99"/>
        <v>5</v>
      </c>
      <c r="X1048">
        <f t="shared" si="100"/>
        <v>0</v>
      </c>
      <c r="Y1048">
        <f t="shared" si="101"/>
        <v>0</v>
      </c>
    </row>
    <row r="1049" spans="1:25" x14ac:dyDescent="0.35">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c r="T1049">
        <f t="shared" si="96"/>
        <v>3074.4</v>
      </c>
      <c r="U1049">
        <f t="shared" si="97"/>
        <v>307.44000000000005</v>
      </c>
      <c r="V1049">
        <f t="shared" si="98"/>
        <v>2766.96</v>
      </c>
      <c r="W1049">
        <f t="shared" si="99"/>
        <v>10</v>
      </c>
      <c r="X1049">
        <f t="shared" si="100"/>
        <v>-307.44000000000005</v>
      </c>
      <c r="Y1049">
        <f t="shared" si="101"/>
        <v>0</v>
      </c>
    </row>
    <row r="1050" spans="1:25" x14ac:dyDescent="0.35">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c r="T1050">
        <f t="shared" si="96"/>
        <v>378.35</v>
      </c>
      <c r="U1050">
        <f t="shared" si="97"/>
        <v>18.9175</v>
      </c>
      <c r="V1050">
        <f t="shared" si="98"/>
        <v>359.4325</v>
      </c>
      <c r="W1050">
        <f t="shared" si="99"/>
        <v>3</v>
      </c>
      <c r="X1050">
        <f t="shared" si="100"/>
        <v>-18.917500000000018</v>
      </c>
      <c r="Y1050">
        <f t="shared" si="101"/>
        <v>0</v>
      </c>
    </row>
    <row r="1051" spans="1:25" x14ac:dyDescent="0.35">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c r="T1051">
        <f t="shared" si="96"/>
        <v>461.35</v>
      </c>
      <c r="U1051">
        <f t="shared" si="97"/>
        <v>0</v>
      </c>
      <c r="V1051">
        <f t="shared" si="98"/>
        <v>461.35</v>
      </c>
      <c r="W1051">
        <f t="shared" si="99"/>
        <v>2</v>
      </c>
      <c r="X1051">
        <f t="shared" si="100"/>
        <v>0</v>
      </c>
      <c r="Y1051">
        <f t="shared" si="101"/>
        <v>0</v>
      </c>
    </row>
    <row r="1052" spans="1:25" x14ac:dyDescent="0.35">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c r="T1052">
        <f t="shared" si="96"/>
        <v>7098</v>
      </c>
      <c r="U1052">
        <f t="shared" si="97"/>
        <v>0</v>
      </c>
      <c r="V1052">
        <f t="shared" si="98"/>
        <v>7098</v>
      </c>
      <c r="W1052">
        <f t="shared" si="99"/>
        <v>3</v>
      </c>
      <c r="X1052">
        <f t="shared" si="100"/>
        <v>0</v>
      </c>
      <c r="Y1052">
        <f t="shared" si="101"/>
        <v>0</v>
      </c>
    </row>
    <row r="1053" spans="1:25" x14ac:dyDescent="0.35">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c r="T1053">
        <f t="shared" si="96"/>
        <v>3068.8700000000003</v>
      </c>
      <c r="U1053">
        <f t="shared" si="97"/>
        <v>306.88700000000006</v>
      </c>
      <c r="V1053">
        <f t="shared" si="98"/>
        <v>2761.9830000000002</v>
      </c>
      <c r="W1053">
        <f t="shared" si="99"/>
        <v>4</v>
      </c>
      <c r="X1053">
        <f t="shared" si="100"/>
        <v>-306.88700000000017</v>
      </c>
      <c r="Y1053">
        <f t="shared" si="101"/>
        <v>0</v>
      </c>
    </row>
    <row r="1054" spans="1:25" x14ac:dyDescent="0.35">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c r="T1054">
        <f t="shared" si="96"/>
        <v>7596.4000000000005</v>
      </c>
      <c r="U1054">
        <f t="shared" si="97"/>
        <v>379.82000000000005</v>
      </c>
      <c r="V1054">
        <f t="shared" si="98"/>
        <v>7216.5800000000008</v>
      </c>
      <c r="W1054">
        <f t="shared" si="99"/>
        <v>9</v>
      </c>
      <c r="X1054">
        <f t="shared" si="100"/>
        <v>-379.81999999999971</v>
      </c>
      <c r="Y1054">
        <f t="shared" si="101"/>
        <v>0</v>
      </c>
    </row>
    <row r="1055" spans="1:25" x14ac:dyDescent="0.35">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c r="T1055">
        <f t="shared" si="96"/>
        <v>716.46</v>
      </c>
      <c r="U1055">
        <f t="shared" si="97"/>
        <v>71.646000000000001</v>
      </c>
      <c r="V1055">
        <f t="shared" si="98"/>
        <v>644.81400000000008</v>
      </c>
      <c r="W1055">
        <f t="shared" si="99"/>
        <v>9</v>
      </c>
      <c r="X1055">
        <f t="shared" si="100"/>
        <v>-71.645999999999958</v>
      </c>
      <c r="Y1055">
        <f t="shared" si="101"/>
        <v>0</v>
      </c>
    </row>
    <row r="1056" spans="1:25" x14ac:dyDescent="0.35">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c r="T1056">
        <f t="shared" si="96"/>
        <v>5315.04</v>
      </c>
      <c r="U1056">
        <f t="shared" si="97"/>
        <v>531.50400000000002</v>
      </c>
      <c r="V1056">
        <f t="shared" si="98"/>
        <v>4783.5360000000001</v>
      </c>
      <c r="W1056">
        <f t="shared" si="99"/>
        <v>8</v>
      </c>
      <c r="X1056">
        <f t="shared" si="100"/>
        <v>-531.50399999999991</v>
      </c>
      <c r="Y1056">
        <f t="shared" si="101"/>
        <v>0</v>
      </c>
    </row>
    <row r="1057" spans="1:25" x14ac:dyDescent="0.35">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c r="T1057">
        <f t="shared" si="96"/>
        <v>4091.4</v>
      </c>
      <c r="U1057">
        <f t="shared" si="97"/>
        <v>204.57000000000002</v>
      </c>
      <c r="V1057">
        <f t="shared" si="98"/>
        <v>3886.83</v>
      </c>
      <c r="W1057">
        <f t="shared" si="99"/>
        <v>7</v>
      </c>
      <c r="X1057">
        <f t="shared" si="100"/>
        <v>-204.57000000000016</v>
      </c>
      <c r="Y1057">
        <f t="shared" si="101"/>
        <v>0</v>
      </c>
    </row>
    <row r="1058" spans="1:25" x14ac:dyDescent="0.35">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c r="T1058">
        <f t="shared" si="96"/>
        <v>3243.24</v>
      </c>
      <c r="U1058">
        <f t="shared" si="97"/>
        <v>162.16200000000001</v>
      </c>
      <c r="V1058">
        <f t="shared" si="98"/>
        <v>3081.078</v>
      </c>
      <c r="W1058">
        <f t="shared" si="99"/>
        <v>6</v>
      </c>
      <c r="X1058">
        <f t="shared" si="100"/>
        <v>-162.16199999999981</v>
      </c>
      <c r="Y1058">
        <f t="shared" si="101"/>
        <v>0</v>
      </c>
    </row>
    <row r="1059" spans="1:25" x14ac:dyDescent="0.35">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c r="T1059">
        <f t="shared" si="96"/>
        <v>2063.1800000000003</v>
      </c>
      <c r="U1059">
        <f t="shared" si="97"/>
        <v>309.47700000000003</v>
      </c>
      <c r="V1059">
        <f t="shared" si="98"/>
        <v>1753.7030000000002</v>
      </c>
      <c r="W1059">
        <f t="shared" si="99"/>
        <v>6</v>
      </c>
      <c r="X1059">
        <f t="shared" si="100"/>
        <v>-309.47700000000009</v>
      </c>
      <c r="Y1059">
        <f t="shared" si="101"/>
        <v>0</v>
      </c>
    </row>
    <row r="1060" spans="1:25" x14ac:dyDescent="0.35">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c r="T1060">
        <f t="shared" si="96"/>
        <v>2947.84</v>
      </c>
      <c r="U1060">
        <f t="shared" si="97"/>
        <v>442.17599999999999</v>
      </c>
      <c r="V1060">
        <f t="shared" si="98"/>
        <v>2505.6640000000002</v>
      </c>
      <c r="W1060">
        <f t="shared" si="99"/>
        <v>2</v>
      </c>
      <c r="X1060">
        <f t="shared" si="100"/>
        <v>-442.17599999999993</v>
      </c>
      <c r="Y1060">
        <f t="shared" si="101"/>
        <v>0</v>
      </c>
    </row>
    <row r="1061" spans="1:25" x14ac:dyDescent="0.35">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c r="T1061">
        <f t="shared" si="96"/>
        <v>8726.4</v>
      </c>
      <c r="U1061">
        <f t="shared" si="97"/>
        <v>0</v>
      </c>
      <c r="V1061">
        <f t="shared" si="98"/>
        <v>8726.4</v>
      </c>
      <c r="W1061">
        <f t="shared" si="99"/>
        <v>10</v>
      </c>
      <c r="X1061">
        <f t="shared" si="100"/>
        <v>0</v>
      </c>
      <c r="Y1061">
        <f t="shared" si="101"/>
        <v>0</v>
      </c>
    </row>
    <row r="1062" spans="1:25" x14ac:dyDescent="0.35">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c r="T1062">
        <f t="shared" si="96"/>
        <v>7862.94</v>
      </c>
      <c r="U1062">
        <f t="shared" si="97"/>
        <v>786.29399999999998</v>
      </c>
      <c r="V1062">
        <f t="shared" si="98"/>
        <v>7076.6459999999997</v>
      </c>
      <c r="W1062">
        <f t="shared" si="99"/>
        <v>7</v>
      </c>
      <c r="X1062">
        <f t="shared" si="100"/>
        <v>-786.29399999999987</v>
      </c>
      <c r="Y1062">
        <f t="shared" si="101"/>
        <v>0</v>
      </c>
    </row>
    <row r="1063" spans="1:25" x14ac:dyDescent="0.35">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c r="T1063">
        <f t="shared" si="96"/>
        <v>655.14</v>
      </c>
      <c r="U1063">
        <f t="shared" si="97"/>
        <v>32.756999999999998</v>
      </c>
      <c r="V1063">
        <f t="shared" si="98"/>
        <v>622.38300000000004</v>
      </c>
      <c r="W1063">
        <f t="shared" si="99"/>
        <v>9</v>
      </c>
      <c r="X1063">
        <f t="shared" si="100"/>
        <v>-32.756999999999948</v>
      </c>
      <c r="Y1063">
        <f t="shared" si="101"/>
        <v>0</v>
      </c>
    </row>
    <row r="1064" spans="1:25" x14ac:dyDescent="0.35">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c r="T1064">
        <f t="shared" si="96"/>
        <v>3004.56</v>
      </c>
      <c r="U1064">
        <f t="shared" si="97"/>
        <v>150.22800000000001</v>
      </c>
      <c r="V1064">
        <f t="shared" si="98"/>
        <v>2854.3319999999999</v>
      </c>
      <c r="W1064">
        <f t="shared" si="99"/>
        <v>10</v>
      </c>
      <c r="X1064">
        <f t="shared" si="100"/>
        <v>-150.22800000000007</v>
      </c>
      <c r="Y1064">
        <f t="shared" si="101"/>
        <v>0</v>
      </c>
    </row>
    <row r="1065" spans="1:25" x14ac:dyDescent="0.35">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c r="T1065">
        <f t="shared" si="96"/>
        <v>4205.32</v>
      </c>
      <c r="U1065">
        <f t="shared" si="97"/>
        <v>420.53199999999998</v>
      </c>
      <c r="V1065">
        <f t="shared" si="98"/>
        <v>3784.7879999999996</v>
      </c>
      <c r="W1065">
        <f t="shared" si="99"/>
        <v>3</v>
      </c>
      <c r="X1065">
        <f t="shared" si="100"/>
        <v>-420.53200000000015</v>
      </c>
      <c r="Y1065">
        <f t="shared" si="101"/>
        <v>0</v>
      </c>
    </row>
    <row r="1066" spans="1:25" x14ac:dyDescent="0.35">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c r="T1066">
        <f t="shared" si="96"/>
        <v>1161.45</v>
      </c>
      <c r="U1066">
        <f t="shared" si="97"/>
        <v>0</v>
      </c>
      <c r="V1066">
        <f t="shared" si="98"/>
        <v>1161.45</v>
      </c>
      <c r="W1066">
        <f t="shared" si="99"/>
        <v>9</v>
      </c>
      <c r="X1066">
        <f t="shared" si="100"/>
        <v>0</v>
      </c>
      <c r="Y1066">
        <f t="shared" si="101"/>
        <v>0</v>
      </c>
    </row>
    <row r="1067" spans="1:25" x14ac:dyDescent="0.35">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c r="T1067">
        <f t="shared" si="96"/>
        <v>173.44</v>
      </c>
      <c r="U1067">
        <f t="shared" si="97"/>
        <v>0</v>
      </c>
      <c r="V1067">
        <f t="shared" si="98"/>
        <v>173.44</v>
      </c>
      <c r="W1067">
        <f t="shared" si="99"/>
        <v>2</v>
      </c>
      <c r="X1067">
        <f t="shared" si="100"/>
        <v>0</v>
      </c>
      <c r="Y1067">
        <f t="shared" si="101"/>
        <v>0</v>
      </c>
    </row>
    <row r="1068" spans="1:25" x14ac:dyDescent="0.35">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c r="T1068">
        <f t="shared" si="96"/>
        <v>2305.2599999999998</v>
      </c>
      <c r="U1068">
        <f t="shared" si="97"/>
        <v>345.78899999999993</v>
      </c>
      <c r="V1068">
        <f t="shared" si="98"/>
        <v>1959.4709999999998</v>
      </c>
      <c r="W1068">
        <f t="shared" si="99"/>
        <v>3</v>
      </c>
      <c r="X1068">
        <f t="shared" si="100"/>
        <v>-345.78899999999999</v>
      </c>
      <c r="Y1068">
        <f t="shared" si="101"/>
        <v>0</v>
      </c>
    </row>
    <row r="1069" spans="1:25" x14ac:dyDescent="0.35">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c r="T1069">
        <f t="shared" si="96"/>
        <v>5535.6</v>
      </c>
      <c r="U1069">
        <f t="shared" si="97"/>
        <v>830.34</v>
      </c>
      <c r="V1069">
        <f t="shared" si="98"/>
        <v>4705.26</v>
      </c>
      <c r="W1069">
        <f t="shared" si="99"/>
        <v>9</v>
      </c>
      <c r="X1069">
        <f t="shared" si="100"/>
        <v>-830.34000000000015</v>
      </c>
      <c r="Y1069">
        <f t="shared" si="101"/>
        <v>0</v>
      </c>
    </row>
    <row r="1070" spans="1:25" x14ac:dyDescent="0.35">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c r="T1070">
        <f t="shared" si="96"/>
        <v>193.08</v>
      </c>
      <c r="U1070">
        <f t="shared" si="97"/>
        <v>9.6540000000000017</v>
      </c>
      <c r="V1070">
        <f t="shared" si="98"/>
        <v>183.42600000000002</v>
      </c>
      <c r="W1070">
        <f t="shared" si="99"/>
        <v>6</v>
      </c>
      <c r="X1070">
        <f t="shared" si="100"/>
        <v>-9.6539999999999964</v>
      </c>
      <c r="Y1070">
        <f t="shared" si="101"/>
        <v>0</v>
      </c>
    </row>
    <row r="1071" spans="1:25" x14ac:dyDescent="0.35">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c r="T1071">
        <f t="shared" si="96"/>
        <v>938.91000000000008</v>
      </c>
      <c r="U1071">
        <f t="shared" si="97"/>
        <v>46.94550000000001</v>
      </c>
      <c r="V1071">
        <f t="shared" si="98"/>
        <v>891.96450000000004</v>
      </c>
      <c r="W1071">
        <f t="shared" si="99"/>
        <v>6</v>
      </c>
      <c r="X1071">
        <f t="shared" si="100"/>
        <v>-46.945500000000038</v>
      </c>
      <c r="Y1071">
        <f t="shared" si="101"/>
        <v>0</v>
      </c>
    </row>
    <row r="1072" spans="1:25" x14ac:dyDescent="0.35">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c r="T1072">
        <f t="shared" si="96"/>
        <v>1284.8399999999999</v>
      </c>
      <c r="U1072">
        <f t="shared" si="97"/>
        <v>64.242000000000004</v>
      </c>
      <c r="V1072">
        <f t="shared" si="98"/>
        <v>1220.598</v>
      </c>
      <c r="W1072">
        <f t="shared" si="99"/>
        <v>8</v>
      </c>
      <c r="X1072">
        <f t="shared" si="100"/>
        <v>-64.241999999999962</v>
      </c>
      <c r="Y1072">
        <f t="shared" si="101"/>
        <v>0</v>
      </c>
    </row>
    <row r="1073" spans="1:25" x14ac:dyDescent="0.35">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c r="T1073">
        <f t="shared" si="96"/>
        <v>239.2</v>
      </c>
      <c r="U1073">
        <f t="shared" si="97"/>
        <v>23.92</v>
      </c>
      <c r="V1073">
        <f t="shared" si="98"/>
        <v>215.27999999999997</v>
      </c>
      <c r="W1073">
        <f t="shared" si="99"/>
        <v>8</v>
      </c>
      <c r="X1073">
        <f t="shared" si="100"/>
        <v>-23.920000000000016</v>
      </c>
      <c r="Y1073">
        <f t="shared" si="101"/>
        <v>0</v>
      </c>
    </row>
    <row r="1074" spans="1:25" x14ac:dyDescent="0.35">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c r="T1074">
        <f t="shared" si="96"/>
        <v>3762</v>
      </c>
      <c r="U1074">
        <f t="shared" si="97"/>
        <v>0</v>
      </c>
      <c r="V1074">
        <f t="shared" si="98"/>
        <v>3762</v>
      </c>
      <c r="W1074">
        <f t="shared" si="99"/>
        <v>6</v>
      </c>
      <c r="X1074">
        <f t="shared" si="100"/>
        <v>0</v>
      </c>
      <c r="Y1074">
        <f t="shared" si="101"/>
        <v>0</v>
      </c>
    </row>
    <row r="1075" spans="1:25" x14ac:dyDescent="0.35">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c r="T1075">
        <f t="shared" si="96"/>
        <v>80.959999999999994</v>
      </c>
      <c r="U1075">
        <f t="shared" si="97"/>
        <v>0</v>
      </c>
      <c r="V1075">
        <f t="shared" si="98"/>
        <v>80.959999999999994</v>
      </c>
      <c r="W1075">
        <f t="shared" si="99"/>
        <v>3</v>
      </c>
      <c r="X1075">
        <f t="shared" si="100"/>
        <v>0</v>
      </c>
      <c r="Y1075">
        <f t="shared" si="101"/>
        <v>0</v>
      </c>
    </row>
    <row r="1076" spans="1:25" x14ac:dyDescent="0.35">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c r="T1076">
        <f t="shared" si="96"/>
        <v>842.4</v>
      </c>
      <c r="U1076">
        <f t="shared" si="97"/>
        <v>126.35999999999999</v>
      </c>
      <c r="V1076">
        <f t="shared" si="98"/>
        <v>716.04</v>
      </c>
      <c r="W1076">
        <f t="shared" si="99"/>
        <v>8</v>
      </c>
      <c r="X1076">
        <f t="shared" si="100"/>
        <v>-126.36000000000001</v>
      </c>
      <c r="Y1076">
        <f t="shared" si="101"/>
        <v>0</v>
      </c>
    </row>
    <row r="1077" spans="1:25" x14ac:dyDescent="0.35">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c r="T1077">
        <f t="shared" si="96"/>
        <v>1099.9499999999998</v>
      </c>
      <c r="U1077">
        <f t="shared" si="97"/>
        <v>0</v>
      </c>
      <c r="V1077">
        <f t="shared" si="98"/>
        <v>1099.9499999999998</v>
      </c>
      <c r="W1077">
        <f t="shared" si="99"/>
        <v>7</v>
      </c>
      <c r="X1077">
        <f t="shared" si="100"/>
        <v>0</v>
      </c>
      <c r="Y1077">
        <f t="shared" si="101"/>
        <v>0</v>
      </c>
    </row>
    <row r="1078" spans="1:25" x14ac:dyDescent="0.35">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c r="T1078">
        <f t="shared" si="96"/>
        <v>10163.48</v>
      </c>
      <c r="U1078">
        <f t="shared" si="97"/>
        <v>0</v>
      </c>
      <c r="V1078">
        <f t="shared" si="98"/>
        <v>10163.48</v>
      </c>
      <c r="W1078">
        <f t="shared" si="99"/>
        <v>10</v>
      </c>
      <c r="X1078">
        <f t="shared" si="100"/>
        <v>0</v>
      </c>
      <c r="Y1078">
        <f t="shared" si="101"/>
        <v>0</v>
      </c>
    </row>
    <row r="1079" spans="1:25" x14ac:dyDescent="0.35">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c r="T1079">
        <f t="shared" si="96"/>
        <v>494.52</v>
      </c>
      <c r="U1079">
        <f t="shared" si="97"/>
        <v>0</v>
      </c>
      <c r="V1079">
        <f t="shared" si="98"/>
        <v>494.52</v>
      </c>
      <c r="W1079">
        <f t="shared" si="99"/>
        <v>8</v>
      </c>
      <c r="X1079">
        <f t="shared" si="100"/>
        <v>0</v>
      </c>
      <c r="Y1079">
        <f t="shared" si="101"/>
        <v>0</v>
      </c>
    </row>
    <row r="1080" spans="1:25" x14ac:dyDescent="0.35">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c r="T1080">
        <f t="shared" si="96"/>
        <v>2068.02</v>
      </c>
      <c r="U1080">
        <f t="shared" si="97"/>
        <v>206.80200000000002</v>
      </c>
      <c r="V1080">
        <f t="shared" si="98"/>
        <v>1861.2179999999998</v>
      </c>
      <c r="W1080">
        <f t="shared" si="99"/>
        <v>6</v>
      </c>
      <c r="X1080">
        <f t="shared" si="100"/>
        <v>-206.80200000000013</v>
      </c>
      <c r="Y1080">
        <f t="shared" si="101"/>
        <v>0</v>
      </c>
    </row>
    <row r="1081" spans="1:25" x14ac:dyDescent="0.35">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c r="T1081">
        <f t="shared" si="96"/>
        <v>5869.68</v>
      </c>
      <c r="U1081">
        <f t="shared" si="97"/>
        <v>880.452</v>
      </c>
      <c r="V1081">
        <f t="shared" si="98"/>
        <v>4989.2280000000001</v>
      </c>
      <c r="W1081">
        <f t="shared" si="99"/>
        <v>9</v>
      </c>
      <c r="X1081">
        <f t="shared" si="100"/>
        <v>-880.45200000000023</v>
      </c>
      <c r="Y1081">
        <f t="shared" si="101"/>
        <v>0</v>
      </c>
    </row>
    <row r="1082" spans="1:25" x14ac:dyDescent="0.35">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c r="T1082">
        <f t="shared" si="96"/>
        <v>4612.1400000000003</v>
      </c>
      <c r="U1082">
        <f t="shared" si="97"/>
        <v>230.60700000000003</v>
      </c>
      <c r="V1082">
        <f t="shared" si="98"/>
        <v>4381.5330000000004</v>
      </c>
      <c r="W1082">
        <f t="shared" si="99"/>
        <v>5</v>
      </c>
      <c r="X1082">
        <f t="shared" si="100"/>
        <v>-230.60699999999997</v>
      </c>
      <c r="Y1082">
        <f t="shared" si="101"/>
        <v>0</v>
      </c>
    </row>
    <row r="1083" spans="1:25" x14ac:dyDescent="0.35">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c r="T1083">
        <f t="shared" si="96"/>
        <v>1695.92</v>
      </c>
      <c r="U1083">
        <f t="shared" si="97"/>
        <v>0</v>
      </c>
      <c r="V1083">
        <f t="shared" si="98"/>
        <v>1695.92</v>
      </c>
      <c r="W1083">
        <f t="shared" si="99"/>
        <v>10</v>
      </c>
      <c r="X1083">
        <f t="shared" si="100"/>
        <v>0</v>
      </c>
      <c r="Y1083">
        <f t="shared" si="101"/>
        <v>0</v>
      </c>
    </row>
    <row r="1084" spans="1:25" x14ac:dyDescent="0.35">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c r="T1084">
        <f t="shared" si="96"/>
        <v>8059.24</v>
      </c>
      <c r="U1084">
        <f t="shared" si="97"/>
        <v>805.92399999999998</v>
      </c>
      <c r="V1084">
        <f t="shared" si="98"/>
        <v>7253.3159999999998</v>
      </c>
      <c r="W1084">
        <f t="shared" si="99"/>
        <v>8</v>
      </c>
      <c r="X1084">
        <f t="shared" si="100"/>
        <v>-805.92399999999998</v>
      </c>
      <c r="Y1084">
        <f t="shared" si="101"/>
        <v>0</v>
      </c>
    </row>
    <row r="1085" spans="1:25" x14ac:dyDescent="0.35">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c r="T1085">
        <f t="shared" si="96"/>
        <v>1059.1200000000001</v>
      </c>
      <c r="U1085">
        <f t="shared" si="97"/>
        <v>158.86800000000002</v>
      </c>
      <c r="V1085">
        <f t="shared" si="98"/>
        <v>900.25200000000007</v>
      </c>
      <c r="W1085">
        <f t="shared" si="99"/>
        <v>3</v>
      </c>
      <c r="X1085">
        <f t="shared" si="100"/>
        <v>-158.86800000000005</v>
      </c>
      <c r="Y1085">
        <f t="shared" si="101"/>
        <v>0</v>
      </c>
    </row>
    <row r="1086" spans="1:25" x14ac:dyDescent="0.35">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c r="T1086">
        <f t="shared" si="96"/>
        <v>2913.96</v>
      </c>
      <c r="U1086">
        <f t="shared" si="97"/>
        <v>145.69800000000001</v>
      </c>
      <c r="V1086">
        <f t="shared" si="98"/>
        <v>2768.2620000000002</v>
      </c>
      <c r="W1086">
        <f t="shared" si="99"/>
        <v>6</v>
      </c>
      <c r="X1086">
        <f t="shared" si="100"/>
        <v>-145.69799999999987</v>
      </c>
      <c r="Y1086">
        <f t="shared" si="101"/>
        <v>0</v>
      </c>
    </row>
    <row r="1087" spans="1:25" x14ac:dyDescent="0.35">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c r="T1087">
        <f t="shared" si="96"/>
        <v>1132.8800000000001</v>
      </c>
      <c r="U1087">
        <f t="shared" si="97"/>
        <v>113.28800000000001</v>
      </c>
      <c r="V1087">
        <f t="shared" si="98"/>
        <v>1019.5920000000001</v>
      </c>
      <c r="W1087">
        <f t="shared" si="99"/>
        <v>5</v>
      </c>
      <c r="X1087">
        <f t="shared" si="100"/>
        <v>-113.28800000000001</v>
      </c>
      <c r="Y1087">
        <f t="shared" si="101"/>
        <v>0</v>
      </c>
    </row>
    <row r="1088" spans="1:25" x14ac:dyDescent="0.35">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c r="T1088">
        <f t="shared" si="96"/>
        <v>1937.61</v>
      </c>
      <c r="U1088">
        <f t="shared" si="97"/>
        <v>193.761</v>
      </c>
      <c r="V1088">
        <f t="shared" si="98"/>
        <v>1743.8489999999999</v>
      </c>
      <c r="W1088">
        <f t="shared" si="99"/>
        <v>3</v>
      </c>
      <c r="X1088">
        <f t="shared" si="100"/>
        <v>-193.76099999999997</v>
      </c>
      <c r="Y1088">
        <f t="shared" si="101"/>
        <v>0</v>
      </c>
    </row>
    <row r="1089" spans="1:25" x14ac:dyDescent="0.35">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c r="T1089">
        <f t="shared" si="96"/>
        <v>8949.9600000000009</v>
      </c>
      <c r="U1089">
        <f t="shared" si="97"/>
        <v>447.49800000000005</v>
      </c>
      <c r="V1089">
        <f t="shared" si="98"/>
        <v>8502.4620000000014</v>
      </c>
      <c r="W1089">
        <f t="shared" si="99"/>
        <v>4</v>
      </c>
      <c r="X1089">
        <f t="shared" si="100"/>
        <v>-447.49799999999959</v>
      </c>
      <c r="Y1089">
        <f t="shared" si="101"/>
        <v>0</v>
      </c>
    </row>
    <row r="1090" spans="1:25" x14ac:dyDescent="0.35">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c r="T1090">
        <f t="shared" si="96"/>
        <v>4520.49</v>
      </c>
      <c r="U1090">
        <f t="shared" si="97"/>
        <v>226.02449999999999</v>
      </c>
      <c r="V1090">
        <f t="shared" si="98"/>
        <v>4294.4655000000002</v>
      </c>
      <c r="W1090">
        <f t="shared" si="99"/>
        <v>10</v>
      </c>
      <c r="X1090">
        <f t="shared" si="100"/>
        <v>-226.02449999999953</v>
      </c>
      <c r="Y1090">
        <f t="shared" si="101"/>
        <v>0</v>
      </c>
    </row>
    <row r="1091" spans="1:25" x14ac:dyDescent="0.35">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c r="T1091">
        <f t="shared" ref="T1091:T1154" si="102">D1091*E1091</f>
        <v>1113.6299999999999</v>
      </c>
      <c r="U1091">
        <f t="shared" ref="U1091:U1154" si="103">T1091*H1091</f>
        <v>111.363</v>
      </c>
      <c r="V1091">
        <f t="shared" ref="V1091:V1154" si="104">T1091-U1091</f>
        <v>1002.2669999999998</v>
      </c>
      <c r="W1091">
        <f t="shared" ref="W1091:W1154" si="105">R1091-Q1091</f>
        <v>9</v>
      </c>
      <c r="X1091">
        <f t="shared" ref="X1091:X1154" si="106">V1091-(E1091*D1091)</f>
        <v>-111.36300000000006</v>
      </c>
      <c r="Y1091">
        <f t="shared" ref="Y1091:Y1154" si="107">IF(M1091 = "Yes", -V1091,0)</f>
        <v>0</v>
      </c>
    </row>
    <row r="1092" spans="1:25" x14ac:dyDescent="0.35">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c r="T1092">
        <f t="shared" si="102"/>
        <v>5211.96</v>
      </c>
      <c r="U1092">
        <f t="shared" si="103"/>
        <v>781.79399999999998</v>
      </c>
      <c r="V1092">
        <f t="shared" si="104"/>
        <v>4430.1660000000002</v>
      </c>
      <c r="W1092">
        <f t="shared" si="105"/>
        <v>8</v>
      </c>
      <c r="X1092">
        <f t="shared" si="106"/>
        <v>-781.79399999999987</v>
      </c>
      <c r="Y1092">
        <f t="shared" si="107"/>
        <v>0</v>
      </c>
    </row>
    <row r="1093" spans="1:25" x14ac:dyDescent="0.35">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c r="T1093">
        <f t="shared" si="102"/>
        <v>6826.4</v>
      </c>
      <c r="U1093">
        <f t="shared" si="103"/>
        <v>682.64</v>
      </c>
      <c r="V1093">
        <f t="shared" si="104"/>
        <v>6143.7599999999993</v>
      </c>
      <c r="W1093">
        <f t="shared" si="105"/>
        <v>9</v>
      </c>
      <c r="X1093">
        <f t="shared" si="106"/>
        <v>-682.64000000000033</v>
      </c>
      <c r="Y1093">
        <f t="shared" si="107"/>
        <v>0</v>
      </c>
    </row>
    <row r="1094" spans="1:25" x14ac:dyDescent="0.35">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c r="T1094">
        <f t="shared" si="102"/>
        <v>1769.8200000000002</v>
      </c>
      <c r="U1094">
        <f t="shared" si="103"/>
        <v>88.491000000000014</v>
      </c>
      <c r="V1094">
        <f t="shared" si="104"/>
        <v>1681.3290000000002</v>
      </c>
      <c r="W1094">
        <f t="shared" si="105"/>
        <v>8</v>
      </c>
      <c r="X1094">
        <f t="shared" si="106"/>
        <v>-88.490999999999985</v>
      </c>
      <c r="Y1094">
        <f t="shared" si="107"/>
        <v>0</v>
      </c>
    </row>
    <row r="1095" spans="1:25" x14ac:dyDescent="0.35">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c r="T1095">
        <f t="shared" si="102"/>
        <v>1570.8000000000002</v>
      </c>
      <c r="U1095">
        <f t="shared" si="103"/>
        <v>235.62</v>
      </c>
      <c r="V1095">
        <f t="shared" si="104"/>
        <v>1335.1800000000003</v>
      </c>
      <c r="W1095">
        <f t="shared" si="105"/>
        <v>7</v>
      </c>
      <c r="X1095">
        <f t="shared" si="106"/>
        <v>-235.61999999999989</v>
      </c>
      <c r="Y1095">
        <f t="shared" si="107"/>
        <v>0</v>
      </c>
    </row>
    <row r="1096" spans="1:25" x14ac:dyDescent="0.35">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c r="T1096">
        <f t="shared" si="102"/>
        <v>9719.64</v>
      </c>
      <c r="U1096">
        <f t="shared" si="103"/>
        <v>1457.9459999999999</v>
      </c>
      <c r="V1096">
        <f t="shared" si="104"/>
        <v>8261.6939999999995</v>
      </c>
      <c r="W1096">
        <f t="shared" si="105"/>
        <v>10</v>
      </c>
      <c r="X1096">
        <f t="shared" si="106"/>
        <v>-1457.9459999999999</v>
      </c>
      <c r="Y1096">
        <f t="shared" si="107"/>
        <v>0</v>
      </c>
    </row>
    <row r="1097" spans="1:25" x14ac:dyDescent="0.35">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c r="T1097">
        <f t="shared" si="102"/>
        <v>1792.44</v>
      </c>
      <c r="U1097">
        <f t="shared" si="103"/>
        <v>179.24400000000003</v>
      </c>
      <c r="V1097">
        <f t="shared" si="104"/>
        <v>1613.1959999999999</v>
      </c>
      <c r="W1097">
        <f t="shared" si="105"/>
        <v>7</v>
      </c>
      <c r="X1097">
        <f t="shared" si="106"/>
        <v>-179.24400000000014</v>
      </c>
      <c r="Y1097">
        <f t="shared" si="107"/>
        <v>0</v>
      </c>
    </row>
    <row r="1098" spans="1:25" x14ac:dyDescent="0.35">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c r="T1098">
        <f t="shared" si="102"/>
        <v>2056.1999999999998</v>
      </c>
      <c r="U1098">
        <f t="shared" si="103"/>
        <v>308.42999999999995</v>
      </c>
      <c r="V1098">
        <f t="shared" si="104"/>
        <v>1747.77</v>
      </c>
      <c r="W1098">
        <f t="shared" si="105"/>
        <v>4</v>
      </c>
      <c r="X1098">
        <f t="shared" si="106"/>
        <v>-308.42999999999984</v>
      </c>
      <c r="Y1098">
        <f t="shared" si="107"/>
        <v>0</v>
      </c>
    </row>
    <row r="1099" spans="1:25" x14ac:dyDescent="0.35">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c r="T1099">
        <f t="shared" si="102"/>
        <v>7405.76</v>
      </c>
      <c r="U1099">
        <f t="shared" si="103"/>
        <v>370.28800000000001</v>
      </c>
      <c r="V1099">
        <f t="shared" si="104"/>
        <v>7035.4719999999998</v>
      </c>
      <c r="W1099">
        <f t="shared" si="105"/>
        <v>2</v>
      </c>
      <c r="X1099">
        <f t="shared" si="106"/>
        <v>-370.28800000000047</v>
      </c>
      <c r="Y1099">
        <f t="shared" si="107"/>
        <v>0</v>
      </c>
    </row>
    <row r="1100" spans="1:25" x14ac:dyDescent="0.35">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c r="T1100">
        <f t="shared" si="102"/>
        <v>8608.4599999999991</v>
      </c>
      <c r="U1100">
        <f t="shared" si="103"/>
        <v>0</v>
      </c>
      <c r="V1100">
        <f t="shared" si="104"/>
        <v>8608.4599999999991</v>
      </c>
      <c r="W1100">
        <f t="shared" si="105"/>
        <v>8</v>
      </c>
      <c r="X1100">
        <f t="shared" si="106"/>
        <v>0</v>
      </c>
      <c r="Y1100">
        <f t="shared" si="107"/>
        <v>0</v>
      </c>
    </row>
    <row r="1101" spans="1:25" x14ac:dyDescent="0.35">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c r="T1101">
        <f t="shared" si="102"/>
        <v>486.59</v>
      </c>
      <c r="U1101">
        <f t="shared" si="103"/>
        <v>0</v>
      </c>
      <c r="V1101">
        <f t="shared" si="104"/>
        <v>486.59</v>
      </c>
      <c r="W1101">
        <f t="shared" si="105"/>
        <v>8</v>
      </c>
      <c r="X1101">
        <f t="shared" si="106"/>
        <v>0</v>
      </c>
      <c r="Y1101">
        <f t="shared" si="107"/>
        <v>0</v>
      </c>
    </row>
    <row r="1102" spans="1:25" x14ac:dyDescent="0.35">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c r="T1102">
        <f t="shared" si="102"/>
        <v>1869.8</v>
      </c>
      <c r="U1102">
        <f t="shared" si="103"/>
        <v>93.490000000000009</v>
      </c>
      <c r="V1102">
        <f t="shared" si="104"/>
        <v>1776.31</v>
      </c>
      <c r="W1102">
        <f t="shared" si="105"/>
        <v>10</v>
      </c>
      <c r="X1102">
        <f t="shared" si="106"/>
        <v>-93.490000000000009</v>
      </c>
      <c r="Y1102">
        <f t="shared" si="107"/>
        <v>0</v>
      </c>
    </row>
    <row r="1103" spans="1:25" x14ac:dyDescent="0.35">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c r="T1103">
        <f t="shared" si="102"/>
        <v>1405</v>
      </c>
      <c r="U1103">
        <f t="shared" si="103"/>
        <v>210.75</v>
      </c>
      <c r="V1103">
        <f t="shared" si="104"/>
        <v>1194.25</v>
      </c>
      <c r="W1103">
        <f t="shared" si="105"/>
        <v>7</v>
      </c>
      <c r="X1103">
        <f t="shared" si="106"/>
        <v>-210.75</v>
      </c>
      <c r="Y1103">
        <f t="shared" si="107"/>
        <v>0</v>
      </c>
    </row>
    <row r="1104" spans="1:25" x14ac:dyDescent="0.35">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c r="T1104">
        <f t="shared" si="102"/>
        <v>462.8</v>
      </c>
      <c r="U1104">
        <f t="shared" si="103"/>
        <v>0</v>
      </c>
      <c r="V1104">
        <f t="shared" si="104"/>
        <v>462.8</v>
      </c>
      <c r="W1104">
        <f t="shared" si="105"/>
        <v>8</v>
      </c>
      <c r="X1104">
        <f t="shared" si="106"/>
        <v>0</v>
      </c>
      <c r="Y1104">
        <f t="shared" si="107"/>
        <v>0</v>
      </c>
    </row>
    <row r="1105" spans="1:25" x14ac:dyDescent="0.35">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c r="T1105">
        <f t="shared" si="102"/>
        <v>4856.76</v>
      </c>
      <c r="U1105">
        <f t="shared" si="103"/>
        <v>728.51400000000001</v>
      </c>
      <c r="V1105">
        <f t="shared" si="104"/>
        <v>4128.2460000000001</v>
      </c>
      <c r="W1105">
        <f t="shared" si="105"/>
        <v>9</v>
      </c>
      <c r="X1105">
        <f t="shared" si="106"/>
        <v>-728.51400000000012</v>
      </c>
      <c r="Y1105">
        <f t="shared" si="107"/>
        <v>0</v>
      </c>
    </row>
    <row r="1106" spans="1:25" x14ac:dyDescent="0.35">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c r="T1106">
        <f t="shared" si="102"/>
        <v>8573.76</v>
      </c>
      <c r="U1106">
        <f t="shared" si="103"/>
        <v>0</v>
      </c>
      <c r="V1106">
        <f t="shared" si="104"/>
        <v>8573.76</v>
      </c>
      <c r="W1106">
        <f t="shared" si="105"/>
        <v>5</v>
      </c>
      <c r="X1106">
        <f t="shared" si="106"/>
        <v>0</v>
      </c>
      <c r="Y1106">
        <f t="shared" si="107"/>
        <v>0</v>
      </c>
    </row>
    <row r="1107" spans="1:25" x14ac:dyDescent="0.35">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c r="T1107">
        <f t="shared" si="102"/>
        <v>1582.35</v>
      </c>
      <c r="U1107">
        <f t="shared" si="103"/>
        <v>158.23500000000001</v>
      </c>
      <c r="V1107">
        <f t="shared" si="104"/>
        <v>1424.1149999999998</v>
      </c>
      <c r="W1107">
        <f t="shared" si="105"/>
        <v>9</v>
      </c>
      <c r="X1107">
        <f t="shared" si="106"/>
        <v>-158.23500000000013</v>
      </c>
      <c r="Y1107">
        <f t="shared" si="107"/>
        <v>0</v>
      </c>
    </row>
    <row r="1108" spans="1:25" x14ac:dyDescent="0.35">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c r="T1108">
        <f t="shared" si="102"/>
        <v>1294.52</v>
      </c>
      <c r="U1108">
        <f t="shared" si="103"/>
        <v>129.452</v>
      </c>
      <c r="V1108">
        <f t="shared" si="104"/>
        <v>1165.068</v>
      </c>
      <c r="W1108">
        <f t="shared" si="105"/>
        <v>8</v>
      </c>
      <c r="X1108">
        <f t="shared" si="106"/>
        <v>-129.452</v>
      </c>
      <c r="Y1108">
        <f t="shared" si="107"/>
        <v>0</v>
      </c>
    </row>
    <row r="1109" spans="1:25" x14ac:dyDescent="0.35">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c r="T1109">
        <f t="shared" si="102"/>
        <v>598.4</v>
      </c>
      <c r="U1109">
        <f t="shared" si="103"/>
        <v>29.92</v>
      </c>
      <c r="V1109">
        <f t="shared" si="104"/>
        <v>568.48</v>
      </c>
      <c r="W1109">
        <f t="shared" si="105"/>
        <v>4</v>
      </c>
      <c r="X1109">
        <f t="shared" si="106"/>
        <v>-29.919999999999959</v>
      </c>
      <c r="Y1109">
        <f t="shared" si="107"/>
        <v>0</v>
      </c>
    </row>
    <row r="1110" spans="1:25" x14ac:dyDescent="0.35">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c r="T1110">
        <f t="shared" si="102"/>
        <v>418.98</v>
      </c>
      <c r="U1110">
        <f t="shared" si="103"/>
        <v>41.898000000000003</v>
      </c>
      <c r="V1110">
        <f t="shared" si="104"/>
        <v>377.08199999999999</v>
      </c>
      <c r="W1110">
        <f t="shared" si="105"/>
        <v>5</v>
      </c>
      <c r="X1110">
        <f t="shared" si="106"/>
        <v>-41.898000000000025</v>
      </c>
      <c r="Y1110">
        <f t="shared" si="107"/>
        <v>0</v>
      </c>
    </row>
    <row r="1111" spans="1:25" x14ac:dyDescent="0.35">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c r="T1111">
        <f t="shared" si="102"/>
        <v>1300.1999999999998</v>
      </c>
      <c r="U1111">
        <f t="shared" si="103"/>
        <v>0</v>
      </c>
      <c r="V1111">
        <f t="shared" si="104"/>
        <v>1300.1999999999998</v>
      </c>
      <c r="W1111">
        <f t="shared" si="105"/>
        <v>9</v>
      </c>
      <c r="X1111">
        <f t="shared" si="106"/>
        <v>0</v>
      </c>
      <c r="Y1111">
        <f t="shared" si="107"/>
        <v>0</v>
      </c>
    </row>
    <row r="1112" spans="1:25" x14ac:dyDescent="0.35">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c r="T1112">
        <f t="shared" si="102"/>
        <v>1282.1000000000001</v>
      </c>
      <c r="U1112">
        <f t="shared" si="103"/>
        <v>0</v>
      </c>
      <c r="V1112">
        <f t="shared" si="104"/>
        <v>1282.1000000000001</v>
      </c>
      <c r="W1112">
        <f t="shared" si="105"/>
        <v>5</v>
      </c>
      <c r="X1112">
        <f t="shared" si="106"/>
        <v>0</v>
      </c>
      <c r="Y1112">
        <f t="shared" si="107"/>
        <v>0</v>
      </c>
    </row>
    <row r="1113" spans="1:25" x14ac:dyDescent="0.35">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c r="T1113">
        <f t="shared" si="102"/>
        <v>8718.56</v>
      </c>
      <c r="U1113">
        <f t="shared" si="103"/>
        <v>871.85599999999999</v>
      </c>
      <c r="V1113">
        <f t="shared" si="104"/>
        <v>7846.7039999999997</v>
      </c>
      <c r="W1113">
        <f t="shared" si="105"/>
        <v>7</v>
      </c>
      <c r="X1113">
        <f t="shared" si="106"/>
        <v>-871.85599999999977</v>
      </c>
      <c r="Y1113">
        <f t="shared" si="107"/>
        <v>0</v>
      </c>
    </row>
    <row r="1114" spans="1:25" x14ac:dyDescent="0.35">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c r="T1114">
        <f t="shared" si="102"/>
        <v>2154.98</v>
      </c>
      <c r="U1114">
        <f t="shared" si="103"/>
        <v>0</v>
      </c>
      <c r="V1114">
        <f t="shared" si="104"/>
        <v>2154.98</v>
      </c>
      <c r="W1114">
        <f t="shared" si="105"/>
        <v>9</v>
      </c>
      <c r="X1114">
        <f t="shared" si="106"/>
        <v>0</v>
      </c>
      <c r="Y1114">
        <f t="shared" si="107"/>
        <v>0</v>
      </c>
    </row>
    <row r="1115" spans="1:25" x14ac:dyDescent="0.35">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c r="T1115">
        <f t="shared" si="102"/>
        <v>5227.3</v>
      </c>
      <c r="U1115">
        <f t="shared" si="103"/>
        <v>522.73</v>
      </c>
      <c r="V1115">
        <f t="shared" si="104"/>
        <v>4704.57</v>
      </c>
      <c r="W1115">
        <f t="shared" si="105"/>
        <v>6</v>
      </c>
      <c r="X1115">
        <f t="shared" si="106"/>
        <v>-522.73000000000047</v>
      </c>
      <c r="Y1115">
        <f t="shared" si="107"/>
        <v>0</v>
      </c>
    </row>
    <row r="1116" spans="1:25" x14ac:dyDescent="0.35">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c r="T1116">
        <f t="shared" si="102"/>
        <v>8064.5399999999991</v>
      </c>
      <c r="U1116">
        <f t="shared" si="103"/>
        <v>1209.6809999999998</v>
      </c>
      <c r="V1116">
        <f t="shared" si="104"/>
        <v>6854.8589999999995</v>
      </c>
      <c r="W1116">
        <f t="shared" si="105"/>
        <v>9</v>
      </c>
      <c r="X1116">
        <f t="shared" si="106"/>
        <v>-1209.6809999999996</v>
      </c>
      <c r="Y1116">
        <f t="shared" si="107"/>
        <v>0</v>
      </c>
    </row>
    <row r="1117" spans="1:25" x14ac:dyDescent="0.35">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c r="T1117">
        <f t="shared" si="102"/>
        <v>3127.6499999999996</v>
      </c>
      <c r="U1117">
        <f t="shared" si="103"/>
        <v>156.38249999999999</v>
      </c>
      <c r="V1117">
        <f t="shared" si="104"/>
        <v>2971.2674999999995</v>
      </c>
      <c r="W1117">
        <f t="shared" si="105"/>
        <v>9</v>
      </c>
      <c r="X1117">
        <f t="shared" si="106"/>
        <v>-156.38250000000016</v>
      </c>
      <c r="Y1117">
        <f t="shared" si="107"/>
        <v>0</v>
      </c>
    </row>
    <row r="1118" spans="1:25" x14ac:dyDescent="0.35">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c r="T1118">
        <f t="shared" si="102"/>
        <v>5507.32</v>
      </c>
      <c r="U1118">
        <f t="shared" si="103"/>
        <v>550.73199999999997</v>
      </c>
      <c r="V1118">
        <f t="shared" si="104"/>
        <v>4956.5879999999997</v>
      </c>
      <c r="W1118">
        <f t="shared" si="105"/>
        <v>2</v>
      </c>
      <c r="X1118">
        <f t="shared" si="106"/>
        <v>-550.73199999999997</v>
      </c>
      <c r="Y1118">
        <f t="shared" si="107"/>
        <v>0</v>
      </c>
    </row>
    <row r="1119" spans="1:25" x14ac:dyDescent="0.35">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c r="T1119">
        <f t="shared" si="102"/>
        <v>2761.3</v>
      </c>
      <c r="U1119">
        <f t="shared" si="103"/>
        <v>414.19499999999999</v>
      </c>
      <c r="V1119">
        <f t="shared" si="104"/>
        <v>2347.105</v>
      </c>
      <c r="W1119">
        <f t="shared" si="105"/>
        <v>2</v>
      </c>
      <c r="X1119">
        <f t="shared" si="106"/>
        <v>-414.19500000000016</v>
      </c>
      <c r="Y1119">
        <f t="shared" si="107"/>
        <v>0</v>
      </c>
    </row>
    <row r="1120" spans="1:25" x14ac:dyDescent="0.35">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c r="T1120">
        <f t="shared" si="102"/>
        <v>182.11</v>
      </c>
      <c r="U1120">
        <f t="shared" si="103"/>
        <v>18.211000000000002</v>
      </c>
      <c r="V1120">
        <f t="shared" si="104"/>
        <v>163.899</v>
      </c>
      <c r="W1120">
        <f t="shared" si="105"/>
        <v>7</v>
      </c>
      <c r="X1120">
        <f t="shared" si="106"/>
        <v>-18.211000000000013</v>
      </c>
      <c r="Y1120">
        <f t="shared" si="107"/>
        <v>0</v>
      </c>
    </row>
    <row r="1121" spans="1:25" x14ac:dyDescent="0.35">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c r="T1121">
        <f t="shared" si="102"/>
        <v>3264.52</v>
      </c>
      <c r="U1121">
        <f t="shared" si="103"/>
        <v>163.226</v>
      </c>
      <c r="V1121">
        <f t="shared" si="104"/>
        <v>3101.2939999999999</v>
      </c>
      <c r="W1121">
        <f t="shared" si="105"/>
        <v>9</v>
      </c>
      <c r="X1121">
        <f t="shared" si="106"/>
        <v>-163.22600000000011</v>
      </c>
      <c r="Y1121">
        <f t="shared" si="107"/>
        <v>0</v>
      </c>
    </row>
    <row r="1122" spans="1:25" x14ac:dyDescent="0.35">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c r="T1122">
        <f t="shared" si="102"/>
        <v>2108.1</v>
      </c>
      <c r="U1122">
        <f t="shared" si="103"/>
        <v>210.81</v>
      </c>
      <c r="V1122">
        <f t="shared" si="104"/>
        <v>1897.29</v>
      </c>
      <c r="W1122">
        <f t="shared" si="105"/>
        <v>10</v>
      </c>
      <c r="X1122">
        <f t="shared" si="106"/>
        <v>-210.80999999999995</v>
      </c>
      <c r="Y1122">
        <f t="shared" si="107"/>
        <v>0</v>
      </c>
    </row>
    <row r="1123" spans="1:25" x14ac:dyDescent="0.35">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c r="T1123">
        <f t="shared" si="102"/>
        <v>7825.27</v>
      </c>
      <c r="U1123">
        <f t="shared" si="103"/>
        <v>1173.7905000000001</v>
      </c>
      <c r="V1123">
        <f t="shared" si="104"/>
        <v>6651.4795000000004</v>
      </c>
      <c r="W1123">
        <f t="shared" si="105"/>
        <v>8</v>
      </c>
      <c r="X1123">
        <f t="shared" si="106"/>
        <v>-1173.7905000000001</v>
      </c>
      <c r="Y1123">
        <f t="shared" si="107"/>
        <v>0</v>
      </c>
    </row>
    <row r="1124" spans="1:25" x14ac:dyDescent="0.35">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c r="T1124">
        <f t="shared" si="102"/>
        <v>664.35</v>
      </c>
      <c r="U1124">
        <f t="shared" si="103"/>
        <v>0</v>
      </c>
      <c r="V1124">
        <f t="shared" si="104"/>
        <v>664.35</v>
      </c>
      <c r="W1124">
        <f t="shared" si="105"/>
        <v>10</v>
      </c>
      <c r="X1124">
        <f t="shared" si="106"/>
        <v>0</v>
      </c>
      <c r="Y1124">
        <f t="shared" si="107"/>
        <v>0</v>
      </c>
    </row>
    <row r="1125" spans="1:25" x14ac:dyDescent="0.35">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c r="T1125">
        <f t="shared" si="102"/>
        <v>2518.3200000000002</v>
      </c>
      <c r="U1125">
        <f t="shared" si="103"/>
        <v>125.91600000000001</v>
      </c>
      <c r="V1125">
        <f t="shared" si="104"/>
        <v>2392.404</v>
      </c>
      <c r="W1125">
        <f t="shared" si="105"/>
        <v>4</v>
      </c>
      <c r="X1125">
        <f t="shared" si="106"/>
        <v>-125.91600000000017</v>
      </c>
      <c r="Y1125">
        <f t="shared" si="107"/>
        <v>0</v>
      </c>
    </row>
    <row r="1126" spans="1:25" x14ac:dyDescent="0.35">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c r="T1126">
        <f t="shared" si="102"/>
        <v>282.15000000000003</v>
      </c>
      <c r="U1126">
        <f t="shared" si="103"/>
        <v>28.215000000000003</v>
      </c>
      <c r="V1126">
        <f t="shared" si="104"/>
        <v>253.93500000000003</v>
      </c>
      <c r="W1126">
        <f t="shared" si="105"/>
        <v>5</v>
      </c>
      <c r="X1126">
        <f t="shared" si="106"/>
        <v>-28.215000000000003</v>
      </c>
      <c r="Y1126">
        <f t="shared" si="107"/>
        <v>0</v>
      </c>
    </row>
    <row r="1127" spans="1:25" x14ac:dyDescent="0.35">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c r="T1127">
        <f t="shared" si="102"/>
        <v>3686.21</v>
      </c>
      <c r="U1127">
        <f t="shared" si="103"/>
        <v>0</v>
      </c>
      <c r="V1127">
        <f t="shared" si="104"/>
        <v>3686.21</v>
      </c>
      <c r="W1127">
        <f t="shared" si="105"/>
        <v>8</v>
      </c>
      <c r="X1127">
        <f t="shared" si="106"/>
        <v>0</v>
      </c>
      <c r="Y1127">
        <f t="shared" si="107"/>
        <v>0</v>
      </c>
    </row>
    <row r="1128" spans="1:25" x14ac:dyDescent="0.35">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c r="T1128">
        <f t="shared" si="102"/>
        <v>2219.44</v>
      </c>
      <c r="U1128">
        <f t="shared" si="103"/>
        <v>0</v>
      </c>
      <c r="V1128">
        <f t="shared" si="104"/>
        <v>2219.44</v>
      </c>
      <c r="W1128">
        <f t="shared" si="105"/>
        <v>4</v>
      </c>
      <c r="X1128">
        <f t="shared" si="106"/>
        <v>0</v>
      </c>
      <c r="Y1128">
        <f t="shared" si="107"/>
        <v>0</v>
      </c>
    </row>
    <row r="1129" spans="1:25" x14ac:dyDescent="0.35">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c r="T1129">
        <f t="shared" si="102"/>
        <v>1726.3200000000002</v>
      </c>
      <c r="U1129">
        <f t="shared" si="103"/>
        <v>86.316000000000017</v>
      </c>
      <c r="V1129">
        <f t="shared" si="104"/>
        <v>1640.0040000000001</v>
      </c>
      <c r="W1129">
        <f t="shared" si="105"/>
        <v>5</v>
      </c>
      <c r="X1129">
        <f t="shared" si="106"/>
        <v>-86.316000000000031</v>
      </c>
      <c r="Y1129">
        <f t="shared" si="107"/>
        <v>0</v>
      </c>
    </row>
    <row r="1130" spans="1:25" x14ac:dyDescent="0.35">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c r="T1130">
        <f t="shared" si="102"/>
        <v>6434.54</v>
      </c>
      <c r="U1130">
        <f t="shared" si="103"/>
        <v>321.72700000000003</v>
      </c>
      <c r="V1130">
        <f t="shared" si="104"/>
        <v>6112.8130000000001</v>
      </c>
      <c r="W1130">
        <f t="shared" si="105"/>
        <v>10</v>
      </c>
      <c r="X1130">
        <f t="shared" si="106"/>
        <v>-321.72699999999986</v>
      </c>
      <c r="Y1130">
        <f t="shared" si="107"/>
        <v>0</v>
      </c>
    </row>
    <row r="1131" spans="1:25" x14ac:dyDescent="0.35">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c r="T1131">
        <f t="shared" si="102"/>
        <v>3967.3</v>
      </c>
      <c r="U1131">
        <f t="shared" si="103"/>
        <v>396.73</v>
      </c>
      <c r="V1131">
        <f t="shared" si="104"/>
        <v>3570.57</v>
      </c>
      <c r="W1131">
        <f t="shared" si="105"/>
        <v>5</v>
      </c>
      <c r="X1131">
        <f t="shared" si="106"/>
        <v>-396.73</v>
      </c>
      <c r="Y1131">
        <f t="shared" si="107"/>
        <v>0</v>
      </c>
    </row>
    <row r="1132" spans="1:25" x14ac:dyDescent="0.35">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c r="T1132">
        <f t="shared" si="102"/>
        <v>10328.599999999999</v>
      </c>
      <c r="U1132">
        <f t="shared" si="103"/>
        <v>0</v>
      </c>
      <c r="V1132">
        <f t="shared" si="104"/>
        <v>10328.599999999999</v>
      </c>
      <c r="W1132">
        <f t="shared" si="105"/>
        <v>2</v>
      </c>
      <c r="X1132">
        <f t="shared" si="106"/>
        <v>0</v>
      </c>
      <c r="Y1132">
        <f t="shared" si="107"/>
        <v>0</v>
      </c>
    </row>
    <row r="1133" spans="1:25" x14ac:dyDescent="0.35">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c r="T1133">
        <f t="shared" si="102"/>
        <v>299.66000000000003</v>
      </c>
      <c r="U1133">
        <f t="shared" si="103"/>
        <v>29.966000000000005</v>
      </c>
      <c r="V1133">
        <f t="shared" si="104"/>
        <v>269.69400000000002</v>
      </c>
      <c r="W1133">
        <f t="shared" si="105"/>
        <v>2</v>
      </c>
      <c r="X1133">
        <f t="shared" si="106"/>
        <v>-29.966000000000008</v>
      </c>
      <c r="Y1133">
        <f t="shared" si="107"/>
        <v>0</v>
      </c>
    </row>
    <row r="1134" spans="1:25" x14ac:dyDescent="0.35">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c r="T1134">
        <f t="shared" si="102"/>
        <v>380.64</v>
      </c>
      <c r="U1134">
        <f t="shared" si="103"/>
        <v>0</v>
      </c>
      <c r="V1134">
        <f t="shared" si="104"/>
        <v>380.64</v>
      </c>
      <c r="W1134">
        <f t="shared" si="105"/>
        <v>8</v>
      </c>
      <c r="X1134">
        <f t="shared" si="106"/>
        <v>0</v>
      </c>
      <c r="Y1134">
        <f t="shared" si="107"/>
        <v>0</v>
      </c>
    </row>
    <row r="1135" spans="1:25" x14ac:dyDescent="0.35">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c r="T1135">
        <f t="shared" si="102"/>
        <v>10005.86</v>
      </c>
      <c r="U1135">
        <f t="shared" si="103"/>
        <v>500.29300000000006</v>
      </c>
      <c r="V1135">
        <f t="shared" si="104"/>
        <v>9505.5670000000009</v>
      </c>
      <c r="W1135">
        <f t="shared" si="105"/>
        <v>7</v>
      </c>
      <c r="X1135">
        <f t="shared" si="106"/>
        <v>-500.29299999999967</v>
      </c>
      <c r="Y1135">
        <f t="shared" si="107"/>
        <v>0</v>
      </c>
    </row>
    <row r="1136" spans="1:25" x14ac:dyDescent="0.35">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c r="T1136">
        <f t="shared" si="102"/>
        <v>2234.65</v>
      </c>
      <c r="U1136">
        <f t="shared" si="103"/>
        <v>223.46500000000003</v>
      </c>
      <c r="V1136">
        <f t="shared" si="104"/>
        <v>2011.1849999999999</v>
      </c>
      <c r="W1136">
        <f t="shared" si="105"/>
        <v>3</v>
      </c>
      <c r="X1136">
        <f t="shared" si="106"/>
        <v>-223.46500000000015</v>
      </c>
      <c r="Y1136">
        <f t="shared" si="107"/>
        <v>0</v>
      </c>
    </row>
    <row r="1137" spans="1:25" x14ac:dyDescent="0.35">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c r="T1137">
        <f t="shared" si="102"/>
        <v>2504.5199999999995</v>
      </c>
      <c r="U1137">
        <f t="shared" si="103"/>
        <v>0</v>
      </c>
      <c r="V1137">
        <f t="shared" si="104"/>
        <v>2504.5199999999995</v>
      </c>
      <c r="W1137">
        <f t="shared" si="105"/>
        <v>2</v>
      </c>
      <c r="X1137">
        <f t="shared" si="106"/>
        <v>0</v>
      </c>
      <c r="Y1137">
        <f t="shared" si="107"/>
        <v>0</v>
      </c>
    </row>
    <row r="1138" spans="1:25" x14ac:dyDescent="0.35">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c r="T1138">
        <f t="shared" si="102"/>
        <v>317.98</v>
      </c>
      <c r="U1138">
        <f t="shared" si="103"/>
        <v>0</v>
      </c>
      <c r="V1138">
        <f t="shared" si="104"/>
        <v>317.98</v>
      </c>
      <c r="W1138">
        <f t="shared" si="105"/>
        <v>6</v>
      </c>
      <c r="X1138">
        <f t="shared" si="106"/>
        <v>0</v>
      </c>
      <c r="Y1138">
        <f t="shared" si="107"/>
        <v>0</v>
      </c>
    </row>
    <row r="1139" spans="1:25" x14ac:dyDescent="0.35">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c r="T1139">
        <f t="shared" si="102"/>
        <v>1162.8899999999999</v>
      </c>
      <c r="U1139">
        <f t="shared" si="103"/>
        <v>0</v>
      </c>
      <c r="V1139">
        <f t="shared" si="104"/>
        <v>1162.8899999999999</v>
      </c>
      <c r="W1139">
        <f t="shared" si="105"/>
        <v>4</v>
      </c>
      <c r="X1139">
        <f t="shared" si="106"/>
        <v>0</v>
      </c>
      <c r="Y1139">
        <f t="shared" si="107"/>
        <v>0</v>
      </c>
    </row>
    <row r="1140" spans="1:25" x14ac:dyDescent="0.35">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c r="T1140">
        <f t="shared" si="102"/>
        <v>1010.6</v>
      </c>
      <c r="U1140">
        <f t="shared" si="103"/>
        <v>101.06</v>
      </c>
      <c r="V1140">
        <f t="shared" si="104"/>
        <v>909.54</v>
      </c>
      <c r="W1140">
        <f t="shared" si="105"/>
        <v>8</v>
      </c>
      <c r="X1140">
        <f t="shared" si="106"/>
        <v>-101.06000000000006</v>
      </c>
      <c r="Y1140">
        <f t="shared" si="107"/>
        <v>0</v>
      </c>
    </row>
    <row r="1141" spans="1:25" x14ac:dyDescent="0.35">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c r="T1141">
        <f t="shared" si="102"/>
        <v>1338.28</v>
      </c>
      <c r="U1141">
        <f t="shared" si="103"/>
        <v>200.74199999999999</v>
      </c>
      <c r="V1141">
        <f t="shared" si="104"/>
        <v>1137.538</v>
      </c>
      <c r="W1141">
        <f t="shared" si="105"/>
        <v>7</v>
      </c>
      <c r="X1141">
        <f t="shared" si="106"/>
        <v>-200.74199999999996</v>
      </c>
      <c r="Y1141">
        <f t="shared" si="107"/>
        <v>0</v>
      </c>
    </row>
    <row r="1142" spans="1:25" x14ac:dyDescent="0.35">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c r="T1142">
        <f t="shared" si="102"/>
        <v>7787.36</v>
      </c>
      <c r="U1142">
        <f t="shared" si="103"/>
        <v>1168.1039999999998</v>
      </c>
      <c r="V1142">
        <f t="shared" si="104"/>
        <v>6619.2559999999994</v>
      </c>
      <c r="W1142">
        <f t="shared" si="105"/>
        <v>4</v>
      </c>
      <c r="X1142">
        <f t="shared" si="106"/>
        <v>-1168.1040000000003</v>
      </c>
      <c r="Y1142">
        <f t="shared" si="107"/>
        <v>0</v>
      </c>
    </row>
    <row r="1143" spans="1:25" x14ac:dyDescent="0.35">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c r="T1143">
        <f t="shared" si="102"/>
        <v>376.58</v>
      </c>
      <c r="U1143">
        <f t="shared" si="103"/>
        <v>56.486999999999995</v>
      </c>
      <c r="V1143">
        <f t="shared" si="104"/>
        <v>320.09299999999996</v>
      </c>
      <c r="W1143">
        <f t="shared" si="105"/>
        <v>3</v>
      </c>
      <c r="X1143">
        <f t="shared" si="106"/>
        <v>-56.487000000000023</v>
      </c>
      <c r="Y1143">
        <f t="shared" si="107"/>
        <v>0</v>
      </c>
    </row>
    <row r="1144" spans="1:25" x14ac:dyDescent="0.35">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c r="T1144">
        <f t="shared" si="102"/>
        <v>782.16000000000008</v>
      </c>
      <c r="U1144">
        <f t="shared" si="103"/>
        <v>117.32400000000001</v>
      </c>
      <c r="V1144">
        <f t="shared" si="104"/>
        <v>664.83600000000001</v>
      </c>
      <c r="W1144">
        <f t="shared" si="105"/>
        <v>3</v>
      </c>
      <c r="X1144">
        <f t="shared" si="106"/>
        <v>-117.32400000000007</v>
      </c>
      <c r="Y1144">
        <f t="shared" si="107"/>
        <v>0</v>
      </c>
    </row>
    <row r="1145" spans="1:25" x14ac:dyDescent="0.35">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c r="T1145">
        <f t="shared" si="102"/>
        <v>2149.62</v>
      </c>
      <c r="U1145">
        <f t="shared" si="103"/>
        <v>214.96199999999999</v>
      </c>
      <c r="V1145">
        <f t="shared" si="104"/>
        <v>1934.6579999999999</v>
      </c>
      <c r="W1145">
        <f t="shared" si="105"/>
        <v>10</v>
      </c>
      <c r="X1145">
        <f t="shared" si="106"/>
        <v>-214.96199999999999</v>
      </c>
      <c r="Y1145">
        <f t="shared" si="107"/>
        <v>0</v>
      </c>
    </row>
    <row r="1146" spans="1:25" x14ac:dyDescent="0.35">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c r="T1146">
        <f t="shared" si="102"/>
        <v>6404.58</v>
      </c>
      <c r="U1146">
        <f t="shared" si="103"/>
        <v>640.45800000000008</v>
      </c>
      <c r="V1146">
        <f t="shared" si="104"/>
        <v>5764.1219999999994</v>
      </c>
      <c r="W1146">
        <f t="shared" si="105"/>
        <v>5</v>
      </c>
      <c r="X1146">
        <f t="shared" si="106"/>
        <v>-640.45800000000054</v>
      </c>
      <c r="Y1146">
        <f t="shared" si="107"/>
        <v>0</v>
      </c>
    </row>
    <row r="1147" spans="1:25" x14ac:dyDescent="0.35">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c r="T1147">
        <f t="shared" si="102"/>
        <v>1045.1399999999999</v>
      </c>
      <c r="U1147">
        <f t="shared" si="103"/>
        <v>0</v>
      </c>
      <c r="V1147">
        <f t="shared" si="104"/>
        <v>1045.1399999999999</v>
      </c>
      <c r="W1147">
        <f t="shared" si="105"/>
        <v>6</v>
      </c>
      <c r="X1147">
        <f t="shared" si="106"/>
        <v>0</v>
      </c>
      <c r="Y1147">
        <f t="shared" si="107"/>
        <v>0</v>
      </c>
    </row>
    <row r="1148" spans="1:25" x14ac:dyDescent="0.35">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c r="T1148">
        <f t="shared" si="102"/>
        <v>2625.54</v>
      </c>
      <c r="U1148">
        <f t="shared" si="103"/>
        <v>131.27700000000002</v>
      </c>
      <c r="V1148">
        <f t="shared" si="104"/>
        <v>2494.2629999999999</v>
      </c>
      <c r="W1148">
        <f t="shared" si="105"/>
        <v>9</v>
      </c>
      <c r="X1148">
        <f t="shared" si="106"/>
        <v>-131.27700000000004</v>
      </c>
      <c r="Y1148">
        <f t="shared" si="107"/>
        <v>0</v>
      </c>
    </row>
    <row r="1149" spans="1:25" x14ac:dyDescent="0.35">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c r="T1149">
        <f t="shared" si="102"/>
        <v>2243.71</v>
      </c>
      <c r="U1149">
        <f t="shared" si="103"/>
        <v>224.37100000000001</v>
      </c>
      <c r="V1149">
        <f t="shared" si="104"/>
        <v>2019.3389999999999</v>
      </c>
      <c r="W1149">
        <f t="shared" si="105"/>
        <v>8</v>
      </c>
      <c r="X1149">
        <f t="shared" si="106"/>
        <v>-224.37100000000009</v>
      </c>
      <c r="Y1149">
        <f t="shared" si="107"/>
        <v>0</v>
      </c>
    </row>
    <row r="1150" spans="1:25" x14ac:dyDescent="0.35">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c r="T1150">
        <f t="shared" si="102"/>
        <v>2828.5499999999997</v>
      </c>
      <c r="U1150">
        <f t="shared" si="103"/>
        <v>141.42749999999998</v>
      </c>
      <c r="V1150">
        <f t="shared" si="104"/>
        <v>2687.1224999999999</v>
      </c>
      <c r="W1150">
        <f t="shared" si="105"/>
        <v>2</v>
      </c>
      <c r="X1150">
        <f t="shared" si="106"/>
        <v>-141.42749999999978</v>
      </c>
      <c r="Y1150">
        <f t="shared" si="107"/>
        <v>0</v>
      </c>
    </row>
    <row r="1151" spans="1:25" x14ac:dyDescent="0.35">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c r="T1151">
        <f t="shared" si="102"/>
        <v>1605.92</v>
      </c>
      <c r="U1151">
        <f t="shared" si="103"/>
        <v>0</v>
      </c>
      <c r="V1151">
        <f t="shared" si="104"/>
        <v>1605.92</v>
      </c>
      <c r="W1151">
        <f t="shared" si="105"/>
        <v>2</v>
      </c>
      <c r="X1151">
        <f t="shared" si="106"/>
        <v>0</v>
      </c>
      <c r="Y1151">
        <f t="shared" si="107"/>
        <v>0</v>
      </c>
    </row>
    <row r="1152" spans="1:25" x14ac:dyDescent="0.35">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c r="T1152">
        <f t="shared" si="102"/>
        <v>426.27</v>
      </c>
      <c r="U1152">
        <f t="shared" si="103"/>
        <v>63.940499999999993</v>
      </c>
      <c r="V1152">
        <f t="shared" si="104"/>
        <v>362.3295</v>
      </c>
      <c r="W1152">
        <f t="shared" si="105"/>
        <v>6</v>
      </c>
      <c r="X1152">
        <f t="shared" si="106"/>
        <v>-63.940499999999986</v>
      </c>
      <c r="Y1152">
        <f t="shared" si="107"/>
        <v>0</v>
      </c>
    </row>
    <row r="1153" spans="1:25" x14ac:dyDescent="0.35">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c r="T1153">
        <f t="shared" si="102"/>
        <v>8641.7999999999993</v>
      </c>
      <c r="U1153">
        <f t="shared" si="103"/>
        <v>864.18</v>
      </c>
      <c r="V1153">
        <f t="shared" si="104"/>
        <v>7777.619999999999</v>
      </c>
      <c r="W1153">
        <f t="shared" si="105"/>
        <v>4</v>
      </c>
      <c r="X1153">
        <f t="shared" si="106"/>
        <v>-864.18000000000029</v>
      </c>
      <c r="Y1153">
        <f t="shared" si="107"/>
        <v>0</v>
      </c>
    </row>
    <row r="1154" spans="1:25" x14ac:dyDescent="0.35">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c r="T1154">
        <f t="shared" si="102"/>
        <v>872.73</v>
      </c>
      <c r="U1154">
        <f t="shared" si="103"/>
        <v>130.90950000000001</v>
      </c>
      <c r="V1154">
        <f t="shared" si="104"/>
        <v>741.82050000000004</v>
      </c>
      <c r="W1154">
        <f t="shared" si="105"/>
        <v>7</v>
      </c>
      <c r="X1154">
        <f t="shared" si="106"/>
        <v>-130.90949999999998</v>
      </c>
      <c r="Y1154">
        <f t="shared" si="107"/>
        <v>0</v>
      </c>
    </row>
    <row r="1155" spans="1:25" x14ac:dyDescent="0.35">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c r="T1155">
        <f t="shared" ref="T1155:T1218" si="108">D1155*E1155</f>
        <v>3706.68</v>
      </c>
      <c r="U1155">
        <f t="shared" ref="U1155:U1218" si="109">T1155*H1155</f>
        <v>556.00199999999995</v>
      </c>
      <c r="V1155">
        <f t="shared" ref="V1155:V1218" si="110">T1155-U1155</f>
        <v>3150.6779999999999</v>
      </c>
      <c r="W1155">
        <f t="shared" ref="W1155:W1218" si="111">R1155-Q1155</f>
        <v>10</v>
      </c>
      <c r="X1155">
        <f t="shared" ref="X1155:X1218" si="112">V1155-(E1155*D1155)</f>
        <v>-556.00199999999995</v>
      </c>
      <c r="Y1155">
        <f t="shared" ref="Y1155:Y1218" si="113">IF(M1155 = "Yes", -V1155,0)</f>
        <v>0</v>
      </c>
    </row>
    <row r="1156" spans="1:25" x14ac:dyDescent="0.35">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c r="T1156">
        <f t="shared" si="108"/>
        <v>306.66000000000003</v>
      </c>
      <c r="U1156">
        <f t="shared" si="109"/>
        <v>15.333000000000002</v>
      </c>
      <c r="V1156">
        <f t="shared" si="110"/>
        <v>291.327</v>
      </c>
      <c r="W1156">
        <f t="shared" si="111"/>
        <v>3</v>
      </c>
      <c r="X1156">
        <f t="shared" si="112"/>
        <v>-15.333000000000027</v>
      </c>
      <c r="Y1156">
        <f t="shared" si="113"/>
        <v>0</v>
      </c>
    </row>
    <row r="1157" spans="1:25" x14ac:dyDescent="0.35">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c r="T1157">
        <f t="shared" si="108"/>
        <v>2528.96</v>
      </c>
      <c r="U1157">
        <f t="shared" si="109"/>
        <v>252.89600000000002</v>
      </c>
      <c r="V1157">
        <f t="shared" si="110"/>
        <v>2276.0639999999999</v>
      </c>
      <c r="W1157">
        <f t="shared" si="111"/>
        <v>4</v>
      </c>
      <c r="X1157">
        <f t="shared" si="112"/>
        <v>-252.89600000000019</v>
      </c>
      <c r="Y1157">
        <f t="shared" si="113"/>
        <v>0</v>
      </c>
    </row>
    <row r="1158" spans="1:25" x14ac:dyDescent="0.35">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c r="T1158">
        <f t="shared" si="108"/>
        <v>1996.4099999999999</v>
      </c>
      <c r="U1158">
        <f t="shared" si="109"/>
        <v>99.820499999999996</v>
      </c>
      <c r="V1158">
        <f t="shared" si="110"/>
        <v>1896.5894999999998</v>
      </c>
      <c r="W1158">
        <f t="shared" si="111"/>
        <v>5</v>
      </c>
      <c r="X1158">
        <f t="shared" si="112"/>
        <v>-99.820500000000038</v>
      </c>
      <c r="Y1158">
        <f t="shared" si="113"/>
        <v>0</v>
      </c>
    </row>
    <row r="1159" spans="1:25" x14ac:dyDescent="0.35">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c r="T1159">
        <f t="shared" si="108"/>
        <v>1458.17</v>
      </c>
      <c r="U1159">
        <f t="shared" si="109"/>
        <v>72.908500000000004</v>
      </c>
      <c r="V1159">
        <f t="shared" si="110"/>
        <v>1385.2615000000001</v>
      </c>
      <c r="W1159">
        <f t="shared" si="111"/>
        <v>3</v>
      </c>
      <c r="X1159">
        <f t="shared" si="112"/>
        <v>-72.908500000000004</v>
      </c>
      <c r="Y1159">
        <f t="shared" si="113"/>
        <v>0</v>
      </c>
    </row>
    <row r="1160" spans="1:25" x14ac:dyDescent="0.35">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c r="T1160">
        <f t="shared" si="108"/>
        <v>321.92</v>
      </c>
      <c r="U1160">
        <f t="shared" si="109"/>
        <v>32.192</v>
      </c>
      <c r="V1160">
        <f t="shared" si="110"/>
        <v>289.72800000000001</v>
      </c>
      <c r="W1160">
        <f t="shared" si="111"/>
        <v>5</v>
      </c>
      <c r="X1160">
        <f t="shared" si="112"/>
        <v>-32.192000000000007</v>
      </c>
      <c r="Y1160">
        <f t="shared" si="113"/>
        <v>0</v>
      </c>
    </row>
    <row r="1161" spans="1:25" x14ac:dyDescent="0.35">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c r="T1161">
        <f t="shared" si="108"/>
        <v>1121.31</v>
      </c>
      <c r="U1161">
        <f t="shared" si="109"/>
        <v>112.131</v>
      </c>
      <c r="V1161">
        <f t="shared" si="110"/>
        <v>1009.179</v>
      </c>
      <c r="W1161">
        <f t="shared" si="111"/>
        <v>6</v>
      </c>
      <c r="X1161">
        <f t="shared" si="112"/>
        <v>-112.13099999999997</v>
      </c>
      <c r="Y1161">
        <f t="shared" si="113"/>
        <v>0</v>
      </c>
    </row>
    <row r="1162" spans="1:25" x14ac:dyDescent="0.35">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c r="T1162">
        <f t="shared" si="108"/>
        <v>4014</v>
      </c>
      <c r="U1162">
        <f t="shared" si="109"/>
        <v>401.40000000000003</v>
      </c>
      <c r="V1162">
        <f t="shared" si="110"/>
        <v>3612.6</v>
      </c>
      <c r="W1162">
        <f t="shared" si="111"/>
        <v>4</v>
      </c>
      <c r="X1162">
        <f t="shared" si="112"/>
        <v>-401.40000000000009</v>
      </c>
      <c r="Y1162">
        <f t="shared" si="113"/>
        <v>0</v>
      </c>
    </row>
    <row r="1163" spans="1:25" x14ac:dyDescent="0.35">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c r="T1163">
        <f t="shared" si="108"/>
        <v>1620.78</v>
      </c>
      <c r="U1163">
        <f t="shared" si="109"/>
        <v>243.11699999999999</v>
      </c>
      <c r="V1163">
        <f t="shared" si="110"/>
        <v>1377.663</v>
      </c>
      <c r="W1163">
        <f t="shared" si="111"/>
        <v>3</v>
      </c>
      <c r="X1163">
        <f t="shared" si="112"/>
        <v>-243.11699999999996</v>
      </c>
      <c r="Y1163">
        <f t="shared" si="113"/>
        <v>0</v>
      </c>
    </row>
    <row r="1164" spans="1:25" x14ac:dyDescent="0.35">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c r="T1164">
        <f t="shared" si="108"/>
        <v>6424.92</v>
      </c>
      <c r="U1164">
        <f t="shared" si="109"/>
        <v>642.49200000000008</v>
      </c>
      <c r="V1164">
        <f t="shared" si="110"/>
        <v>5782.4279999999999</v>
      </c>
      <c r="W1164">
        <f t="shared" si="111"/>
        <v>2</v>
      </c>
      <c r="X1164">
        <f t="shared" si="112"/>
        <v>-642.49200000000019</v>
      </c>
      <c r="Y1164">
        <f t="shared" si="113"/>
        <v>0</v>
      </c>
    </row>
    <row r="1165" spans="1:25" x14ac:dyDescent="0.35">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c r="T1165">
        <f t="shared" si="108"/>
        <v>1243.08</v>
      </c>
      <c r="U1165">
        <f t="shared" si="109"/>
        <v>124.30799999999999</v>
      </c>
      <c r="V1165">
        <f t="shared" si="110"/>
        <v>1118.7719999999999</v>
      </c>
      <c r="W1165">
        <f t="shared" si="111"/>
        <v>8</v>
      </c>
      <c r="X1165">
        <f t="shared" si="112"/>
        <v>-124.30799999999999</v>
      </c>
      <c r="Y1165">
        <f t="shared" si="113"/>
        <v>0</v>
      </c>
    </row>
    <row r="1166" spans="1:25" x14ac:dyDescent="0.35">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c r="T1166">
        <f t="shared" si="108"/>
        <v>3173.7599999999998</v>
      </c>
      <c r="U1166">
        <f t="shared" si="109"/>
        <v>158.68799999999999</v>
      </c>
      <c r="V1166">
        <f t="shared" si="110"/>
        <v>3015.0719999999997</v>
      </c>
      <c r="W1166">
        <f t="shared" si="111"/>
        <v>6</v>
      </c>
      <c r="X1166">
        <f t="shared" si="112"/>
        <v>-158.6880000000001</v>
      </c>
      <c r="Y1166">
        <f t="shared" si="113"/>
        <v>0</v>
      </c>
    </row>
    <row r="1167" spans="1:25" x14ac:dyDescent="0.35">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c r="T1167">
        <f t="shared" si="108"/>
        <v>562.20000000000005</v>
      </c>
      <c r="U1167">
        <f t="shared" si="109"/>
        <v>56.220000000000006</v>
      </c>
      <c r="V1167">
        <f t="shared" si="110"/>
        <v>505.98</v>
      </c>
      <c r="W1167">
        <f t="shared" si="111"/>
        <v>4</v>
      </c>
      <c r="X1167">
        <f t="shared" si="112"/>
        <v>-56.220000000000027</v>
      </c>
      <c r="Y1167">
        <f t="shared" si="113"/>
        <v>0</v>
      </c>
    </row>
    <row r="1168" spans="1:25" x14ac:dyDescent="0.35">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c r="T1168">
        <f t="shared" si="108"/>
        <v>386</v>
      </c>
      <c r="U1168">
        <f t="shared" si="109"/>
        <v>0</v>
      </c>
      <c r="V1168">
        <f t="shared" si="110"/>
        <v>386</v>
      </c>
      <c r="W1168">
        <f t="shared" si="111"/>
        <v>9</v>
      </c>
      <c r="X1168">
        <f t="shared" si="112"/>
        <v>0</v>
      </c>
      <c r="Y1168">
        <f t="shared" si="113"/>
        <v>0</v>
      </c>
    </row>
    <row r="1169" spans="1:25" x14ac:dyDescent="0.35">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c r="T1169">
        <f t="shared" si="108"/>
        <v>2097.9900000000002</v>
      </c>
      <c r="U1169">
        <f t="shared" si="109"/>
        <v>104.89950000000002</v>
      </c>
      <c r="V1169">
        <f t="shared" si="110"/>
        <v>1993.0905000000002</v>
      </c>
      <c r="W1169">
        <f t="shared" si="111"/>
        <v>4</v>
      </c>
      <c r="X1169">
        <f t="shared" si="112"/>
        <v>-104.89949999999999</v>
      </c>
      <c r="Y1169">
        <f t="shared" si="113"/>
        <v>0</v>
      </c>
    </row>
    <row r="1170" spans="1:25" x14ac:dyDescent="0.35">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c r="T1170">
        <f t="shared" si="108"/>
        <v>1130.1600000000001</v>
      </c>
      <c r="U1170">
        <f t="shared" si="109"/>
        <v>169.524</v>
      </c>
      <c r="V1170">
        <f t="shared" si="110"/>
        <v>960.63600000000008</v>
      </c>
      <c r="W1170">
        <f t="shared" si="111"/>
        <v>5</v>
      </c>
      <c r="X1170">
        <f t="shared" si="112"/>
        <v>-169.524</v>
      </c>
      <c r="Y1170">
        <f t="shared" si="113"/>
        <v>0</v>
      </c>
    </row>
    <row r="1171" spans="1:25" x14ac:dyDescent="0.35">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c r="T1171">
        <f t="shared" si="108"/>
        <v>8578.7099999999991</v>
      </c>
      <c r="U1171">
        <f t="shared" si="109"/>
        <v>857.87099999999998</v>
      </c>
      <c r="V1171">
        <f t="shared" si="110"/>
        <v>7720.838999999999</v>
      </c>
      <c r="W1171">
        <f t="shared" si="111"/>
        <v>10</v>
      </c>
      <c r="X1171">
        <f t="shared" si="112"/>
        <v>-857.87100000000009</v>
      </c>
      <c r="Y1171">
        <f t="shared" si="113"/>
        <v>0</v>
      </c>
    </row>
    <row r="1172" spans="1:25" x14ac:dyDescent="0.35">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c r="T1172">
        <f t="shared" si="108"/>
        <v>1076.24</v>
      </c>
      <c r="U1172">
        <f t="shared" si="109"/>
        <v>53.812000000000005</v>
      </c>
      <c r="V1172">
        <f t="shared" si="110"/>
        <v>1022.428</v>
      </c>
      <c r="W1172">
        <f t="shared" si="111"/>
        <v>8</v>
      </c>
      <c r="X1172">
        <f t="shared" si="112"/>
        <v>-53.812000000000012</v>
      </c>
      <c r="Y1172">
        <f t="shared" si="113"/>
        <v>0</v>
      </c>
    </row>
    <row r="1173" spans="1:25" x14ac:dyDescent="0.35">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c r="T1173">
        <f t="shared" si="108"/>
        <v>3276.98</v>
      </c>
      <c r="U1173">
        <f t="shared" si="109"/>
        <v>491.54699999999997</v>
      </c>
      <c r="V1173">
        <f t="shared" si="110"/>
        <v>2785.433</v>
      </c>
      <c r="W1173">
        <f t="shared" si="111"/>
        <v>3</v>
      </c>
      <c r="X1173">
        <f t="shared" si="112"/>
        <v>-491.54700000000003</v>
      </c>
      <c r="Y1173">
        <f t="shared" si="113"/>
        <v>0</v>
      </c>
    </row>
    <row r="1174" spans="1:25" x14ac:dyDescent="0.35">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c r="T1174">
        <f t="shared" si="108"/>
        <v>9533.7999999999993</v>
      </c>
      <c r="U1174">
        <f t="shared" si="109"/>
        <v>476.69</v>
      </c>
      <c r="V1174">
        <f t="shared" si="110"/>
        <v>9057.1099999999988</v>
      </c>
      <c r="W1174">
        <f t="shared" si="111"/>
        <v>5</v>
      </c>
      <c r="X1174">
        <f t="shared" si="112"/>
        <v>-476.69000000000051</v>
      </c>
      <c r="Y1174">
        <f t="shared" si="113"/>
        <v>0</v>
      </c>
    </row>
    <row r="1175" spans="1:25" x14ac:dyDescent="0.35">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c r="T1175">
        <f t="shared" si="108"/>
        <v>321.45999999999998</v>
      </c>
      <c r="U1175">
        <f t="shared" si="109"/>
        <v>48.218999999999994</v>
      </c>
      <c r="V1175">
        <f t="shared" si="110"/>
        <v>273.24099999999999</v>
      </c>
      <c r="W1175">
        <f t="shared" si="111"/>
        <v>8</v>
      </c>
      <c r="X1175">
        <f t="shared" si="112"/>
        <v>-48.218999999999994</v>
      </c>
      <c r="Y1175">
        <f t="shared" si="113"/>
        <v>0</v>
      </c>
    </row>
    <row r="1176" spans="1:25" x14ac:dyDescent="0.35">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c r="T1176">
        <f t="shared" si="108"/>
        <v>2060.8199999999997</v>
      </c>
      <c r="U1176">
        <f t="shared" si="109"/>
        <v>309.12299999999993</v>
      </c>
      <c r="V1176">
        <f t="shared" si="110"/>
        <v>1751.6969999999997</v>
      </c>
      <c r="W1176">
        <f t="shared" si="111"/>
        <v>4</v>
      </c>
      <c r="X1176">
        <f t="shared" si="112"/>
        <v>-309.12300000000005</v>
      </c>
      <c r="Y1176">
        <f t="shared" si="113"/>
        <v>0</v>
      </c>
    </row>
    <row r="1177" spans="1:25" x14ac:dyDescent="0.35">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c r="T1177">
        <f t="shared" si="108"/>
        <v>6393.5</v>
      </c>
      <c r="U1177">
        <f t="shared" si="109"/>
        <v>0</v>
      </c>
      <c r="V1177">
        <f t="shared" si="110"/>
        <v>6393.5</v>
      </c>
      <c r="W1177">
        <f t="shared" si="111"/>
        <v>8</v>
      </c>
      <c r="X1177">
        <f t="shared" si="112"/>
        <v>0</v>
      </c>
      <c r="Y1177">
        <f t="shared" si="113"/>
        <v>0</v>
      </c>
    </row>
    <row r="1178" spans="1:25" x14ac:dyDescent="0.35">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c r="T1178">
        <f t="shared" si="108"/>
        <v>7408.62</v>
      </c>
      <c r="U1178">
        <f t="shared" si="109"/>
        <v>0</v>
      </c>
      <c r="V1178">
        <f t="shared" si="110"/>
        <v>7408.62</v>
      </c>
      <c r="W1178">
        <f t="shared" si="111"/>
        <v>6</v>
      </c>
      <c r="X1178">
        <f t="shared" si="112"/>
        <v>0</v>
      </c>
      <c r="Y1178">
        <f t="shared" si="113"/>
        <v>0</v>
      </c>
    </row>
    <row r="1179" spans="1:25" x14ac:dyDescent="0.35">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c r="T1179">
        <f t="shared" si="108"/>
        <v>431.49</v>
      </c>
      <c r="U1179">
        <f t="shared" si="109"/>
        <v>64.723500000000001</v>
      </c>
      <c r="V1179">
        <f t="shared" si="110"/>
        <v>366.76650000000001</v>
      </c>
      <c r="W1179">
        <f t="shared" si="111"/>
        <v>8</v>
      </c>
      <c r="X1179">
        <f t="shared" si="112"/>
        <v>-64.723500000000001</v>
      </c>
      <c r="Y1179">
        <f t="shared" si="113"/>
        <v>0</v>
      </c>
    </row>
    <row r="1180" spans="1:25" x14ac:dyDescent="0.35">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c r="T1180">
        <f t="shared" si="108"/>
        <v>8917.02</v>
      </c>
      <c r="U1180">
        <f t="shared" si="109"/>
        <v>0</v>
      </c>
      <c r="V1180">
        <f t="shared" si="110"/>
        <v>8917.02</v>
      </c>
      <c r="W1180">
        <f t="shared" si="111"/>
        <v>4</v>
      </c>
      <c r="X1180">
        <f t="shared" si="112"/>
        <v>0</v>
      </c>
      <c r="Y1180">
        <f t="shared" si="113"/>
        <v>0</v>
      </c>
    </row>
    <row r="1181" spans="1:25" x14ac:dyDescent="0.35">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c r="T1181">
        <f t="shared" si="108"/>
        <v>597.20000000000005</v>
      </c>
      <c r="U1181">
        <f t="shared" si="109"/>
        <v>59.720000000000006</v>
      </c>
      <c r="V1181">
        <f t="shared" si="110"/>
        <v>537.48</v>
      </c>
      <c r="W1181">
        <f t="shared" si="111"/>
        <v>4</v>
      </c>
      <c r="X1181">
        <f t="shared" si="112"/>
        <v>-59.720000000000027</v>
      </c>
      <c r="Y1181">
        <f t="shared" si="113"/>
        <v>0</v>
      </c>
    </row>
    <row r="1182" spans="1:25" x14ac:dyDescent="0.35">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c r="T1182">
        <f t="shared" si="108"/>
        <v>3239.46</v>
      </c>
      <c r="U1182">
        <f t="shared" si="109"/>
        <v>323.94600000000003</v>
      </c>
      <c r="V1182">
        <f t="shared" si="110"/>
        <v>2915.5140000000001</v>
      </c>
      <c r="W1182">
        <f t="shared" si="111"/>
        <v>2</v>
      </c>
      <c r="X1182">
        <f t="shared" si="112"/>
        <v>-323.94599999999991</v>
      </c>
      <c r="Y1182">
        <f t="shared" si="113"/>
        <v>0</v>
      </c>
    </row>
    <row r="1183" spans="1:25" x14ac:dyDescent="0.35">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c r="T1183">
        <f t="shared" si="108"/>
        <v>4192.54</v>
      </c>
      <c r="U1183">
        <f t="shared" si="109"/>
        <v>209.62700000000001</v>
      </c>
      <c r="V1183">
        <f t="shared" si="110"/>
        <v>3982.913</v>
      </c>
      <c r="W1183">
        <f t="shared" si="111"/>
        <v>10</v>
      </c>
      <c r="X1183">
        <f t="shared" si="112"/>
        <v>-209.62699999999995</v>
      </c>
      <c r="Y1183">
        <f t="shared" si="113"/>
        <v>0</v>
      </c>
    </row>
    <row r="1184" spans="1:25" x14ac:dyDescent="0.35">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c r="T1184">
        <f t="shared" si="108"/>
        <v>2273.1</v>
      </c>
      <c r="U1184">
        <f t="shared" si="109"/>
        <v>113.655</v>
      </c>
      <c r="V1184">
        <f t="shared" si="110"/>
        <v>2159.4449999999997</v>
      </c>
      <c r="W1184">
        <f t="shared" si="111"/>
        <v>8</v>
      </c>
      <c r="X1184">
        <f t="shared" si="112"/>
        <v>-113.6550000000002</v>
      </c>
      <c r="Y1184">
        <f t="shared" si="113"/>
        <v>0</v>
      </c>
    </row>
    <row r="1185" spans="1:25" x14ac:dyDescent="0.35">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c r="T1185">
        <f t="shared" si="108"/>
        <v>3851.52</v>
      </c>
      <c r="U1185">
        <f t="shared" si="109"/>
        <v>385.15200000000004</v>
      </c>
      <c r="V1185">
        <f t="shared" si="110"/>
        <v>3466.3679999999999</v>
      </c>
      <c r="W1185">
        <f t="shared" si="111"/>
        <v>6</v>
      </c>
      <c r="X1185">
        <f t="shared" si="112"/>
        <v>-385.15200000000004</v>
      </c>
      <c r="Y1185">
        <f t="shared" si="113"/>
        <v>0</v>
      </c>
    </row>
    <row r="1186" spans="1:25" x14ac:dyDescent="0.35">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c r="T1186">
        <f t="shared" si="108"/>
        <v>265.82</v>
      </c>
      <c r="U1186">
        <f t="shared" si="109"/>
        <v>0</v>
      </c>
      <c r="V1186">
        <f t="shared" si="110"/>
        <v>265.82</v>
      </c>
      <c r="W1186">
        <f t="shared" si="111"/>
        <v>9</v>
      </c>
      <c r="X1186">
        <f t="shared" si="112"/>
        <v>0</v>
      </c>
      <c r="Y1186">
        <f t="shared" si="113"/>
        <v>0</v>
      </c>
    </row>
    <row r="1187" spans="1:25" x14ac:dyDescent="0.35">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c r="T1187">
        <f t="shared" si="108"/>
        <v>71.38</v>
      </c>
      <c r="U1187">
        <f t="shared" si="109"/>
        <v>0</v>
      </c>
      <c r="V1187">
        <f t="shared" si="110"/>
        <v>71.38</v>
      </c>
      <c r="W1187">
        <f t="shared" si="111"/>
        <v>3</v>
      </c>
      <c r="X1187">
        <f t="shared" si="112"/>
        <v>0</v>
      </c>
      <c r="Y1187">
        <f t="shared" si="113"/>
        <v>0</v>
      </c>
    </row>
    <row r="1188" spans="1:25" x14ac:dyDescent="0.35">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c r="T1188">
        <f t="shared" si="108"/>
        <v>2711.58</v>
      </c>
      <c r="U1188">
        <f t="shared" si="109"/>
        <v>406.73699999999997</v>
      </c>
      <c r="V1188">
        <f t="shared" si="110"/>
        <v>2304.8429999999998</v>
      </c>
      <c r="W1188">
        <f t="shared" si="111"/>
        <v>9</v>
      </c>
      <c r="X1188">
        <f t="shared" si="112"/>
        <v>-406.73700000000008</v>
      </c>
      <c r="Y1188">
        <f t="shared" si="113"/>
        <v>0</v>
      </c>
    </row>
    <row r="1189" spans="1:25" x14ac:dyDescent="0.35">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c r="T1189">
        <f t="shared" si="108"/>
        <v>1893.2900000000002</v>
      </c>
      <c r="U1189">
        <f t="shared" si="109"/>
        <v>94.664500000000018</v>
      </c>
      <c r="V1189">
        <f t="shared" si="110"/>
        <v>1798.6255000000001</v>
      </c>
      <c r="W1189">
        <f t="shared" si="111"/>
        <v>4</v>
      </c>
      <c r="X1189">
        <f t="shared" si="112"/>
        <v>-94.664500000000089</v>
      </c>
      <c r="Y1189">
        <f t="shared" si="113"/>
        <v>0</v>
      </c>
    </row>
    <row r="1190" spans="1:25" x14ac:dyDescent="0.35">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c r="T1190">
        <f t="shared" si="108"/>
        <v>720.98</v>
      </c>
      <c r="U1190">
        <f t="shared" si="109"/>
        <v>36.048999999999999</v>
      </c>
      <c r="V1190">
        <f t="shared" si="110"/>
        <v>684.93100000000004</v>
      </c>
      <c r="W1190">
        <f t="shared" si="111"/>
        <v>3</v>
      </c>
      <c r="X1190">
        <f t="shared" si="112"/>
        <v>-36.048999999999978</v>
      </c>
      <c r="Y1190">
        <f t="shared" si="113"/>
        <v>0</v>
      </c>
    </row>
    <row r="1191" spans="1:25" x14ac:dyDescent="0.35">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c r="T1191">
        <f t="shared" si="108"/>
        <v>8757.0400000000009</v>
      </c>
      <c r="U1191">
        <f t="shared" si="109"/>
        <v>1313.556</v>
      </c>
      <c r="V1191">
        <f t="shared" si="110"/>
        <v>7443.4840000000004</v>
      </c>
      <c r="W1191">
        <f t="shared" si="111"/>
        <v>10</v>
      </c>
      <c r="X1191">
        <f t="shared" si="112"/>
        <v>-1313.5560000000005</v>
      </c>
      <c r="Y1191">
        <f t="shared" si="113"/>
        <v>0</v>
      </c>
    </row>
    <row r="1192" spans="1:25" x14ac:dyDescent="0.35">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c r="T1192">
        <f t="shared" si="108"/>
        <v>256.63</v>
      </c>
      <c r="U1192">
        <f t="shared" si="109"/>
        <v>0</v>
      </c>
      <c r="V1192">
        <f t="shared" si="110"/>
        <v>256.63</v>
      </c>
      <c r="W1192">
        <f t="shared" si="111"/>
        <v>2</v>
      </c>
      <c r="X1192">
        <f t="shared" si="112"/>
        <v>0</v>
      </c>
      <c r="Y1192">
        <f t="shared" si="113"/>
        <v>0</v>
      </c>
    </row>
    <row r="1193" spans="1:25" x14ac:dyDescent="0.35">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c r="T1193">
        <f t="shared" si="108"/>
        <v>1695.96</v>
      </c>
      <c r="U1193">
        <f t="shared" si="109"/>
        <v>84.798000000000002</v>
      </c>
      <c r="V1193">
        <f t="shared" si="110"/>
        <v>1611.162</v>
      </c>
      <c r="W1193">
        <f t="shared" si="111"/>
        <v>5</v>
      </c>
      <c r="X1193">
        <f t="shared" si="112"/>
        <v>-84.798000000000002</v>
      </c>
      <c r="Y1193">
        <f t="shared" si="113"/>
        <v>0</v>
      </c>
    </row>
    <row r="1194" spans="1:25" x14ac:dyDescent="0.35">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c r="T1194">
        <f t="shared" si="108"/>
        <v>1168.3499999999999</v>
      </c>
      <c r="U1194">
        <f t="shared" si="109"/>
        <v>58.417499999999997</v>
      </c>
      <c r="V1194">
        <f t="shared" si="110"/>
        <v>1109.9324999999999</v>
      </c>
      <c r="W1194">
        <f t="shared" si="111"/>
        <v>4</v>
      </c>
      <c r="X1194">
        <f t="shared" si="112"/>
        <v>-58.417500000000018</v>
      </c>
      <c r="Y1194">
        <f t="shared" si="113"/>
        <v>0</v>
      </c>
    </row>
    <row r="1195" spans="1:25" x14ac:dyDescent="0.35">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c r="T1195">
        <f t="shared" si="108"/>
        <v>143.39999999999998</v>
      </c>
      <c r="U1195">
        <f t="shared" si="109"/>
        <v>7.169999999999999</v>
      </c>
      <c r="V1195">
        <f t="shared" si="110"/>
        <v>136.22999999999999</v>
      </c>
      <c r="W1195">
        <f t="shared" si="111"/>
        <v>10</v>
      </c>
      <c r="X1195">
        <f t="shared" si="112"/>
        <v>-7.1699999999999875</v>
      </c>
      <c r="Y1195">
        <f t="shared" si="113"/>
        <v>0</v>
      </c>
    </row>
    <row r="1196" spans="1:25" x14ac:dyDescent="0.35">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c r="T1196">
        <f t="shared" si="108"/>
        <v>469.34999999999997</v>
      </c>
      <c r="U1196">
        <f t="shared" si="109"/>
        <v>46.935000000000002</v>
      </c>
      <c r="V1196">
        <f t="shared" si="110"/>
        <v>422.41499999999996</v>
      </c>
      <c r="W1196">
        <f t="shared" si="111"/>
        <v>7</v>
      </c>
      <c r="X1196">
        <f t="shared" si="112"/>
        <v>-46.935000000000002</v>
      </c>
      <c r="Y1196">
        <f t="shared" si="113"/>
        <v>0</v>
      </c>
    </row>
    <row r="1197" spans="1:25" x14ac:dyDescent="0.35">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c r="T1197">
        <f t="shared" si="108"/>
        <v>2244.85</v>
      </c>
      <c r="U1197">
        <f t="shared" si="109"/>
        <v>336.72749999999996</v>
      </c>
      <c r="V1197">
        <f t="shared" si="110"/>
        <v>1908.1224999999999</v>
      </c>
      <c r="W1197">
        <f t="shared" si="111"/>
        <v>5</v>
      </c>
      <c r="X1197">
        <f t="shared" si="112"/>
        <v>-336.72749999999996</v>
      </c>
      <c r="Y1197">
        <f t="shared" si="113"/>
        <v>0</v>
      </c>
    </row>
    <row r="1198" spans="1:25" x14ac:dyDescent="0.35">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c r="T1198">
        <f t="shared" si="108"/>
        <v>1831.52</v>
      </c>
      <c r="U1198">
        <f t="shared" si="109"/>
        <v>274.72800000000001</v>
      </c>
      <c r="V1198">
        <f t="shared" si="110"/>
        <v>1556.7919999999999</v>
      </c>
      <c r="W1198">
        <f t="shared" si="111"/>
        <v>5</v>
      </c>
      <c r="X1198">
        <f t="shared" si="112"/>
        <v>-274.72800000000007</v>
      </c>
      <c r="Y1198">
        <f t="shared" si="113"/>
        <v>0</v>
      </c>
    </row>
    <row r="1199" spans="1:25" x14ac:dyDescent="0.35">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c r="T1199">
        <f t="shared" si="108"/>
        <v>325.89</v>
      </c>
      <c r="U1199">
        <f t="shared" si="109"/>
        <v>48.883499999999998</v>
      </c>
      <c r="V1199">
        <f t="shared" si="110"/>
        <v>277.00649999999996</v>
      </c>
      <c r="W1199">
        <f t="shared" si="111"/>
        <v>7</v>
      </c>
      <c r="X1199">
        <f t="shared" si="112"/>
        <v>-48.883500000000026</v>
      </c>
      <c r="Y1199">
        <f t="shared" si="113"/>
        <v>0</v>
      </c>
    </row>
    <row r="1200" spans="1:25" x14ac:dyDescent="0.35">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c r="T1200">
        <f t="shared" si="108"/>
        <v>525.79999999999995</v>
      </c>
      <c r="U1200">
        <f t="shared" si="109"/>
        <v>52.58</v>
      </c>
      <c r="V1200">
        <f t="shared" si="110"/>
        <v>473.21999999999997</v>
      </c>
      <c r="W1200">
        <f t="shared" si="111"/>
        <v>10</v>
      </c>
      <c r="X1200">
        <f t="shared" si="112"/>
        <v>-52.579999999999984</v>
      </c>
      <c r="Y1200">
        <f t="shared" si="113"/>
        <v>0</v>
      </c>
    </row>
    <row r="1201" spans="1:25" x14ac:dyDescent="0.35">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c r="T1201">
        <f t="shared" si="108"/>
        <v>1633.56</v>
      </c>
      <c r="U1201">
        <f t="shared" si="109"/>
        <v>163.35599999999999</v>
      </c>
      <c r="V1201">
        <f t="shared" si="110"/>
        <v>1470.204</v>
      </c>
      <c r="W1201">
        <f t="shared" si="111"/>
        <v>10</v>
      </c>
      <c r="X1201">
        <f t="shared" si="112"/>
        <v>-163.35599999999999</v>
      </c>
      <c r="Y1201">
        <f t="shared" si="113"/>
        <v>0</v>
      </c>
    </row>
    <row r="1202" spans="1:25" x14ac:dyDescent="0.35">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c r="T1202">
        <f t="shared" si="108"/>
        <v>1249.7</v>
      </c>
      <c r="U1202">
        <f t="shared" si="109"/>
        <v>187.45500000000001</v>
      </c>
      <c r="V1202">
        <f t="shared" si="110"/>
        <v>1062.2450000000001</v>
      </c>
      <c r="W1202">
        <f t="shared" si="111"/>
        <v>10</v>
      </c>
      <c r="X1202">
        <f t="shared" si="112"/>
        <v>-187.45499999999993</v>
      </c>
      <c r="Y1202">
        <f t="shared" si="113"/>
        <v>0</v>
      </c>
    </row>
    <row r="1203" spans="1:25" x14ac:dyDescent="0.35">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c r="T1203">
        <f t="shared" si="108"/>
        <v>2057.58</v>
      </c>
      <c r="U1203">
        <f t="shared" si="109"/>
        <v>102.879</v>
      </c>
      <c r="V1203">
        <f t="shared" si="110"/>
        <v>1954.701</v>
      </c>
      <c r="W1203">
        <f t="shared" si="111"/>
        <v>4</v>
      </c>
      <c r="X1203">
        <f t="shared" si="112"/>
        <v>-102.87899999999991</v>
      </c>
      <c r="Y1203">
        <f t="shared" si="113"/>
        <v>0</v>
      </c>
    </row>
    <row r="1204" spans="1:25" x14ac:dyDescent="0.35">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c r="T1204">
        <f t="shared" si="108"/>
        <v>5658.2000000000007</v>
      </c>
      <c r="U1204">
        <f t="shared" si="109"/>
        <v>848.73000000000013</v>
      </c>
      <c r="V1204">
        <f t="shared" si="110"/>
        <v>4809.47</v>
      </c>
      <c r="W1204">
        <f t="shared" si="111"/>
        <v>10</v>
      </c>
      <c r="X1204">
        <f t="shared" si="112"/>
        <v>-848.73000000000047</v>
      </c>
      <c r="Y1204">
        <f t="shared" si="113"/>
        <v>0</v>
      </c>
    </row>
    <row r="1205" spans="1:25" x14ac:dyDescent="0.35">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c r="T1205">
        <f t="shared" si="108"/>
        <v>2203.54</v>
      </c>
      <c r="U1205">
        <f t="shared" si="109"/>
        <v>330.53100000000001</v>
      </c>
      <c r="V1205">
        <f t="shared" si="110"/>
        <v>1873.009</v>
      </c>
      <c r="W1205">
        <f t="shared" si="111"/>
        <v>2</v>
      </c>
      <c r="X1205">
        <f t="shared" si="112"/>
        <v>-330.53099999999995</v>
      </c>
      <c r="Y1205">
        <f t="shared" si="113"/>
        <v>0</v>
      </c>
    </row>
    <row r="1206" spans="1:25" x14ac:dyDescent="0.35">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c r="T1206">
        <f t="shared" si="108"/>
        <v>974.09999999999991</v>
      </c>
      <c r="U1206">
        <f t="shared" si="109"/>
        <v>48.704999999999998</v>
      </c>
      <c r="V1206">
        <f t="shared" si="110"/>
        <v>925.39499999999987</v>
      </c>
      <c r="W1206">
        <f t="shared" si="111"/>
        <v>6</v>
      </c>
      <c r="X1206">
        <f t="shared" si="112"/>
        <v>-48.705000000000041</v>
      </c>
      <c r="Y1206">
        <f t="shared" si="113"/>
        <v>0</v>
      </c>
    </row>
    <row r="1207" spans="1:25" x14ac:dyDescent="0.35">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c r="T1207">
        <f t="shared" si="108"/>
        <v>2937.48</v>
      </c>
      <c r="U1207">
        <f t="shared" si="109"/>
        <v>0</v>
      </c>
      <c r="V1207">
        <f t="shared" si="110"/>
        <v>2937.48</v>
      </c>
      <c r="W1207">
        <f t="shared" si="111"/>
        <v>4</v>
      </c>
      <c r="X1207">
        <f t="shared" si="112"/>
        <v>0</v>
      </c>
      <c r="Y1207">
        <f t="shared" si="113"/>
        <v>0</v>
      </c>
    </row>
    <row r="1208" spans="1:25" x14ac:dyDescent="0.35">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c r="T1208">
        <f t="shared" si="108"/>
        <v>4695.04</v>
      </c>
      <c r="U1208">
        <f t="shared" si="109"/>
        <v>234.75200000000001</v>
      </c>
      <c r="V1208">
        <f t="shared" si="110"/>
        <v>4460.2879999999996</v>
      </c>
      <c r="W1208">
        <f t="shared" si="111"/>
        <v>10</v>
      </c>
      <c r="X1208">
        <f t="shared" si="112"/>
        <v>-234.75200000000041</v>
      </c>
      <c r="Y1208">
        <f t="shared" si="113"/>
        <v>0</v>
      </c>
    </row>
    <row r="1209" spans="1:25" x14ac:dyDescent="0.35">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c r="T1209">
        <f t="shared" si="108"/>
        <v>2040.72</v>
      </c>
      <c r="U1209">
        <f t="shared" si="109"/>
        <v>306.108</v>
      </c>
      <c r="V1209">
        <f t="shared" si="110"/>
        <v>1734.6120000000001</v>
      </c>
      <c r="W1209">
        <f t="shared" si="111"/>
        <v>3</v>
      </c>
      <c r="X1209">
        <f t="shared" si="112"/>
        <v>-306.10799999999995</v>
      </c>
      <c r="Y1209">
        <f t="shared" si="113"/>
        <v>0</v>
      </c>
    </row>
    <row r="1210" spans="1:25" x14ac:dyDescent="0.35">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c r="T1210">
        <f t="shared" si="108"/>
        <v>4830.84</v>
      </c>
      <c r="U1210">
        <f t="shared" si="109"/>
        <v>724.62599999999998</v>
      </c>
      <c r="V1210">
        <f t="shared" si="110"/>
        <v>4106.2139999999999</v>
      </c>
      <c r="W1210">
        <f t="shared" si="111"/>
        <v>3</v>
      </c>
      <c r="X1210">
        <f t="shared" si="112"/>
        <v>-724.6260000000002</v>
      </c>
      <c r="Y1210">
        <f t="shared" si="113"/>
        <v>0</v>
      </c>
    </row>
    <row r="1211" spans="1:25" x14ac:dyDescent="0.35">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c r="T1211">
        <f t="shared" si="108"/>
        <v>9846.9</v>
      </c>
      <c r="U1211">
        <f t="shared" si="109"/>
        <v>984.69</v>
      </c>
      <c r="V1211">
        <f t="shared" si="110"/>
        <v>8862.2099999999991</v>
      </c>
      <c r="W1211">
        <f t="shared" si="111"/>
        <v>5</v>
      </c>
      <c r="X1211">
        <f t="shared" si="112"/>
        <v>-984.69000000000051</v>
      </c>
      <c r="Y1211">
        <f t="shared" si="113"/>
        <v>0</v>
      </c>
    </row>
    <row r="1212" spans="1:25" x14ac:dyDescent="0.35">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c r="T1212">
        <f t="shared" si="108"/>
        <v>354.21</v>
      </c>
      <c r="U1212">
        <f t="shared" si="109"/>
        <v>53.131499999999996</v>
      </c>
      <c r="V1212">
        <f t="shared" si="110"/>
        <v>301.07849999999996</v>
      </c>
      <c r="W1212">
        <f t="shared" si="111"/>
        <v>6</v>
      </c>
      <c r="X1212">
        <f t="shared" si="112"/>
        <v>-53.131500000000017</v>
      </c>
      <c r="Y1212">
        <f t="shared" si="113"/>
        <v>0</v>
      </c>
    </row>
    <row r="1213" spans="1:25" x14ac:dyDescent="0.35">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c r="T1213">
        <f t="shared" si="108"/>
        <v>4516.74</v>
      </c>
      <c r="U1213">
        <f t="shared" si="109"/>
        <v>225.83699999999999</v>
      </c>
      <c r="V1213">
        <f t="shared" si="110"/>
        <v>4290.9030000000002</v>
      </c>
      <c r="W1213">
        <f t="shared" si="111"/>
        <v>6</v>
      </c>
      <c r="X1213">
        <f t="shared" si="112"/>
        <v>-225.83699999999953</v>
      </c>
      <c r="Y1213">
        <f t="shared" si="113"/>
        <v>0</v>
      </c>
    </row>
    <row r="1214" spans="1:25" x14ac:dyDescent="0.35">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c r="T1214">
        <f t="shared" si="108"/>
        <v>10570.5</v>
      </c>
      <c r="U1214">
        <f t="shared" si="109"/>
        <v>1585.575</v>
      </c>
      <c r="V1214">
        <f t="shared" si="110"/>
        <v>8984.9249999999993</v>
      </c>
      <c r="W1214">
        <f t="shared" si="111"/>
        <v>2</v>
      </c>
      <c r="X1214">
        <f t="shared" si="112"/>
        <v>-1585.5750000000007</v>
      </c>
      <c r="Y1214">
        <f t="shared" si="113"/>
        <v>0</v>
      </c>
    </row>
    <row r="1215" spans="1:25" x14ac:dyDescent="0.35">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c r="T1215">
        <f t="shared" si="108"/>
        <v>876.12</v>
      </c>
      <c r="U1215">
        <f t="shared" si="109"/>
        <v>0</v>
      </c>
      <c r="V1215">
        <f t="shared" si="110"/>
        <v>876.12</v>
      </c>
      <c r="W1215">
        <f t="shared" si="111"/>
        <v>6</v>
      </c>
      <c r="X1215">
        <f t="shared" si="112"/>
        <v>0</v>
      </c>
      <c r="Y1215">
        <f t="shared" si="113"/>
        <v>0</v>
      </c>
    </row>
    <row r="1216" spans="1:25" x14ac:dyDescent="0.35">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c r="T1216">
        <f t="shared" si="108"/>
        <v>85.399999999999991</v>
      </c>
      <c r="U1216">
        <f t="shared" si="109"/>
        <v>12.809999999999999</v>
      </c>
      <c r="V1216">
        <f t="shared" si="110"/>
        <v>72.589999999999989</v>
      </c>
      <c r="W1216">
        <f t="shared" si="111"/>
        <v>5</v>
      </c>
      <c r="X1216">
        <f t="shared" si="112"/>
        <v>-12.810000000000002</v>
      </c>
      <c r="Y1216">
        <f t="shared" si="113"/>
        <v>0</v>
      </c>
    </row>
    <row r="1217" spans="1:25" x14ac:dyDescent="0.35">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c r="T1217">
        <f t="shared" si="108"/>
        <v>160.28</v>
      </c>
      <c r="U1217">
        <f t="shared" si="109"/>
        <v>0</v>
      </c>
      <c r="V1217">
        <f t="shared" si="110"/>
        <v>160.28</v>
      </c>
      <c r="W1217">
        <f t="shared" si="111"/>
        <v>3</v>
      </c>
      <c r="X1217">
        <f t="shared" si="112"/>
        <v>0</v>
      </c>
      <c r="Y1217">
        <f t="shared" si="113"/>
        <v>0</v>
      </c>
    </row>
    <row r="1218" spans="1:25" x14ac:dyDescent="0.35">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c r="T1218">
        <f t="shared" si="108"/>
        <v>736.67</v>
      </c>
      <c r="U1218">
        <f t="shared" si="109"/>
        <v>110.50049999999999</v>
      </c>
      <c r="V1218">
        <f t="shared" si="110"/>
        <v>626.16949999999997</v>
      </c>
      <c r="W1218">
        <f t="shared" si="111"/>
        <v>9</v>
      </c>
      <c r="X1218">
        <f t="shared" si="112"/>
        <v>-110.50049999999999</v>
      </c>
      <c r="Y1218">
        <f t="shared" si="113"/>
        <v>0</v>
      </c>
    </row>
    <row r="1219" spans="1:25" x14ac:dyDescent="0.35">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c r="T1219">
        <f t="shared" ref="T1219:T1282" si="114">D1219*E1219</f>
        <v>1088.04</v>
      </c>
      <c r="U1219">
        <f t="shared" ref="U1219:U1282" si="115">T1219*H1219</f>
        <v>0</v>
      </c>
      <c r="V1219">
        <f t="shared" ref="V1219:V1282" si="116">T1219-U1219</f>
        <v>1088.04</v>
      </c>
      <c r="W1219">
        <f t="shared" ref="W1219:W1282" si="117">R1219-Q1219</f>
        <v>5</v>
      </c>
      <c r="X1219">
        <f t="shared" ref="X1219:X1282" si="118">V1219-(E1219*D1219)</f>
        <v>0</v>
      </c>
      <c r="Y1219">
        <f t="shared" ref="Y1219:Y1282" si="119">IF(M1219 = "Yes", -V1219,0)</f>
        <v>0</v>
      </c>
    </row>
    <row r="1220" spans="1:25" x14ac:dyDescent="0.35">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c r="T1220">
        <f t="shared" si="114"/>
        <v>8550</v>
      </c>
      <c r="U1220">
        <f t="shared" si="115"/>
        <v>427.5</v>
      </c>
      <c r="V1220">
        <f t="shared" si="116"/>
        <v>8122.5</v>
      </c>
      <c r="W1220">
        <f t="shared" si="117"/>
        <v>10</v>
      </c>
      <c r="X1220">
        <f t="shared" si="118"/>
        <v>-427.5</v>
      </c>
      <c r="Y1220">
        <f t="shared" si="119"/>
        <v>0</v>
      </c>
    </row>
    <row r="1221" spans="1:25" x14ac:dyDescent="0.35">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c r="T1221">
        <f t="shared" si="114"/>
        <v>5290.11</v>
      </c>
      <c r="U1221">
        <f t="shared" si="115"/>
        <v>793.51649999999995</v>
      </c>
      <c r="V1221">
        <f t="shared" si="116"/>
        <v>4496.5934999999999</v>
      </c>
      <c r="W1221">
        <f t="shared" si="117"/>
        <v>10</v>
      </c>
      <c r="X1221">
        <f t="shared" si="118"/>
        <v>-793.51649999999972</v>
      </c>
      <c r="Y1221">
        <f t="shared" si="119"/>
        <v>0</v>
      </c>
    </row>
    <row r="1222" spans="1:25" x14ac:dyDescent="0.35">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c r="T1222">
        <f t="shared" si="114"/>
        <v>1177.8600000000001</v>
      </c>
      <c r="U1222">
        <f t="shared" si="115"/>
        <v>117.78600000000002</v>
      </c>
      <c r="V1222">
        <f t="shared" si="116"/>
        <v>1060.0740000000001</v>
      </c>
      <c r="W1222">
        <f t="shared" si="117"/>
        <v>3</v>
      </c>
      <c r="X1222">
        <f t="shared" si="118"/>
        <v>-117.78600000000006</v>
      </c>
      <c r="Y1222">
        <f t="shared" si="119"/>
        <v>0</v>
      </c>
    </row>
    <row r="1223" spans="1:25" x14ac:dyDescent="0.35">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c r="T1223">
        <f t="shared" si="114"/>
        <v>3440.48</v>
      </c>
      <c r="U1223">
        <f t="shared" si="115"/>
        <v>172.024</v>
      </c>
      <c r="V1223">
        <f t="shared" si="116"/>
        <v>3268.4560000000001</v>
      </c>
      <c r="W1223">
        <f t="shared" si="117"/>
        <v>4</v>
      </c>
      <c r="X1223">
        <f t="shared" si="118"/>
        <v>-172.02399999999989</v>
      </c>
      <c r="Y1223">
        <f t="shared" si="119"/>
        <v>0</v>
      </c>
    </row>
    <row r="1224" spans="1:25" x14ac:dyDescent="0.35">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c r="T1224">
        <f t="shared" si="114"/>
        <v>6016.08</v>
      </c>
      <c r="U1224">
        <f t="shared" si="115"/>
        <v>601.60800000000006</v>
      </c>
      <c r="V1224">
        <f t="shared" si="116"/>
        <v>5414.4719999999998</v>
      </c>
      <c r="W1224">
        <f t="shared" si="117"/>
        <v>5</v>
      </c>
      <c r="X1224">
        <f t="shared" si="118"/>
        <v>-601.60800000000017</v>
      </c>
      <c r="Y1224">
        <f t="shared" si="119"/>
        <v>0</v>
      </c>
    </row>
    <row r="1225" spans="1:25" x14ac:dyDescent="0.35">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c r="T1225">
        <f t="shared" si="114"/>
        <v>1655.42</v>
      </c>
      <c r="U1225">
        <f t="shared" si="115"/>
        <v>0</v>
      </c>
      <c r="V1225">
        <f t="shared" si="116"/>
        <v>1655.42</v>
      </c>
      <c r="W1225">
        <f t="shared" si="117"/>
        <v>3</v>
      </c>
      <c r="X1225">
        <f t="shared" si="118"/>
        <v>0</v>
      </c>
      <c r="Y1225">
        <f t="shared" si="119"/>
        <v>0</v>
      </c>
    </row>
    <row r="1226" spans="1:25" x14ac:dyDescent="0.35">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c r="T1226">
        <f t="shared" si="114"/>
        <v>2531.8200000000002</v>
      </c>
      <c r="U1226">
        <f t="shared" si="115"/>
        <v>126.59100000000001</v>
      </c>
      <c r="V1226">
        <f t="shared" si="116"/>
        <v>2405.2290000000003</v>
      </c>
      <c r="W1226">
        <f t="shared" si="117"/>
        <v>9</v>
      </c>
      <c r="X1226">
        <f t="shared" si="118"/>
        <v>-126.59099999999989</v>
      </c>
      <c r="Y1226">
        <f t="shared" si="119"/>
        <v>0</v>
      </c>
    </row>
    <row r="1227" spans="1:25" x14ac:dyDescent="0.35">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c r="T1227">
        <f t="shared" si="114"/>
        <v>1128.45</v>
      </c>
      <c r="U1227">
        <f t="shared" si="115"/>
        <v>169.26750000000001</v>
      </c>
      <c r="V1227">
        <f t="shared" si="116"/>
        <v>959.1825</v>
      </c>
      <c r="W1227">
        <f t="shared" si="117"/>
        <v>8</v>
      </c>
      <c r="X1227">
        <f t="shared" si="118"/>
        <v>-169.26750000000004</v>
      </c>
      <c r="Y1227">
        <f t="shared" si="119"/>
        <v>0</v>
      </c>
    </row>
    <row r="1228" spans="1:25" x14ac:dyDescent="0.35">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c r="T1228">
        <f t="shared" si="114"/>
        <v>3221.1000000000004</v>
      </c>
      <c r="U1228">
        <f t="shared" si="115"/>
        <v>483.16500000000002</v>
      </c>
      <c r="V1228">
        <f t="shared" si="116"/>
        <v>2737.9350000000004</v>
      </c>
      <c r="W1228">
        <f t="shared" si="117"/>
        <v>6</v>
      </c>
      <c r="X1228">
        <f t="shared" si="118"/>
        <v>-483.16499999999996</v>
      </c>
      <c r="Y1228">
        <f t="shared" si="119"/>
        <v>0</v>
      </c>
    </row>
    <row r="1229" spans="1:25" x14ac:dyDescent="0.35">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c r="T1229">
        <f t="shared" si="114"/>
        <v>837.2</v>
      </c>
      <c r="U1229">
        <f t="shared" si="115"/>
        <v>41.860000000000007</v>
      </c>
      <c r="V1229">
        <f t="shared" si="116"/>
        <v>795.34</v>
      </c>
      <c r="W1229">
        <f t="shared" si="117"/>
        <v>5</v>
      </c>
      <c r="X1229">
        <f t="shared" si="118"/>
        <v>-41.860000000000014</v>
      </c>
      <c r="Y1229">
        <f t="shared" si="119"/>
        <v>0</v>
      </c>
    </row>
    <row r="1230" spans="1:25" x14ac:dyDescent="0.35">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c r="T1230">
        <f t="shared" si="114"/>
        <v>5218.5600000000004</v>
      </c>
      <c r="U1230">
        <f t="shared" si="115"/>
        <v>521.85600000000011</v>
      </c>
      <c r="V1230">
        <f t="shared" si="116"/>
        <v>4696.7040000000006</v>
      </c>
      <c r="W1230">
        <f t="shared" si="117"/>
        <v>2</v>
      </c>
      <c r="X1230">
        <f t="shared" si="118"/>
        <v>-521.85599999999977</v>
      </c>
      <c r="Y1230">
        <f t="shared" si="119"/>
        <v>0</v>
      </c>
    </row>
    <row r="1231" spans="1:25" x14ac:dyDescent="0.35">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c r="T1231">
        <f t="shared" si="114"/>
        <v>6700.4599999999991</v>
      </c>
      <c r="U1231">
        <f t="shared" si="115"/>
        <v>0</v>
      </c>
      <c r="V1231">
        <f t="shared" si="116"/>
        <v>6700.4599999999991</v>
      </c>
      <c r="W1231">
        <f t="shared" si="117"/>
        <v>9</v>
      </c>
      <c r="X1231">
        <f t="shared" si="118"/>
        <v>0</v>
      </c>
      <c r="Y1231">
        <f t="shared" si="119"/>
        <v>0</v>
      </c>
    </row>
    <row r="1232" spans="1:25" x14ac:dyDescent="0.35">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c r="T1232">
        <f t="shared" si="114"/>
        <v>908.81000000000006</v>
      </c>
      <c r="U1232">
        <f t="shared" si="115"/>
        <v>0</v>
      </c>
      <c r="V1232">
        <f t="shared" si="116"/>
        <v>908.81000000000006</v>
      </c>
      <c r="W1232">
        <f t="shared" si="117"/>
        <v>4</v>
      </c>
      <c r="X1232">
        <f t="shared" si="118"/>
        <v>0</v>
      </c>
      <c r="Y1232">
        <f t="shared" si="119"/>
        <v>0</v>
      </c>
    </row>
    <row r="1233" spans="1:25" x14ac:dyDescent="0.35">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c r="T1233">
        <f t="shared" si="114"/>
        <v>6394.5499999999993</v>
      </c>
      <c r="U1233">
        <f t="shared" si="115"/>
        <v>319.72749999999996</v>
      </c>
      <c r="V1233">
        <f t="shared" si="116"/>
        <v>6074.8224999999993</v>
      </c>
      <c r="W1233">
        <f t="shared" si="117"/>
        <v>3</v>
      </c>
      <c r="X1233">
        <f t="shared" si="118"/>
        <v>-319.72749999999996</v>
      </c>
      <c r="Y1233">
        <f t="shared" si="119"/>
        <v>0</v>
      </c>
    </row>
    <row r="1234" spans="1:25" x14ac:dyDescent="0.35">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c r="T1234">
        <f t="shared" si="114"/>
        <v>3083.68</v>
      </c>
      <c r="U1234">
        <f t="shared" si="115"/>
        <v>0</v>
      </c>
      <c r="V1234">
        <f t="shared" si="116"/>
        <v>3083.68</v>
      </c>
      <c r="W1234">
        <f t="shared" si="117"/>
        <v>4</v>
      </c>
      <c r="X1234">
        <f t="shared" si="118"/>
        <v>0</v>
      </c>
      <c r="Y1234">
        <f t="shared" si="119"/>
        <v>0</v>
      </c>
    </row>
    <row r="1235" spans="1:25" x14ac:dyDescent="0.35">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c r="T1235">
        <f t="shared" si="114"/>
        <v>948.26</v>
      </c>
      <c r="U1235">
        <f t="shared" si="115"/>
        <v>0</v>
      </c>
      <c r="V1235">
        <f t="shared" si="116"/>
        <v>948.26</v>
      </c>
      <c r="W1235">
        <f t="shared" si="117"/>
        <v>9</v>
      </c>
      <c r="X1235">
        <f t="shared" si="118"/>
        <v>0</v>
      </c>
      <c r="Y1235">
        <f t="shared" si="119"/>
        <v>0</v>
      </c>
    </row>
    <row r="1236" spans="1:25" x14ac:dyDescent="0.35">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c r="T1236">
        <f t="shared" si="114"/>
        <v>7592.55</v>
      </c>
      <c r="U1236">
        <f t="shared" si="115"/>
        <v>379.62750000000005</v>
      </c>
      <c r="V1236">
        <f t="shared" si="116"/>
        <v>7212.9225000000006</v>
      </c>
      <c r="W1236">
        <f t="shared" si="117"/>
        <v>5</v>
      </c>
      <c r="X1236">
        <f t="shared" si="118"/>
        <v>-379.6274999999996</v>
      </c>
      <c r="Y1236">
        <f t="shared" si="119"/>
        <v>0</v>
      </c>
    </row>
    <row r="1237" spans="1:25" x14ac:dyDescent="0.35">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c r="T1237">
        <f t="shared" si="114"/>
        <v>67.38</v>
      </c>
      <c r="U1237">
        <f t="shared" si="115"/>
        <v>10.106999999999999</v>
      </c>
      <c r="V1237">
        <f t="shared" si="116"/>
        <v>57.272999999999996</v>
      </c>
      <c r="W1237">
        <f t="shared" si="117"/>
        <v>7</v>
      </c>
      <c r="X1237">
        <f t="shared" si="118"/>
        <v>-10.106999999999999</v>
      </c>
      <c r="Y1237">
        <f t="shared" si="119"/>
        <v>0</v>
      </c>
    </row>
    <row r="1238" spans="1:25" x14ac:dyDescent="0.35">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c r="T1238">
        <f t="shared" si="114"/>
        <v>4114.5</v>
      </c>
      <c r="U1238">
        <f t="shared" si="115"/>
        <v>617.17499999999995</v>
      </c>
      <c r="V1238">
        <f t="shared" si="116"/>
        <v>3497.3249999999998</v>
      </c>
      <c r="W1238">
        <f t="shared" si="117"/>
        <v>9</v>
      </c>
      <c r="X1238">
        <f t="shared" si="118"/>
        <v>-617.17500000000018</v>
      </c>
      <c r="Y1238">
        <f t="shared" si="119"/>
        <v>0</v>
      </c>
    </row>
    <row r="1239" spans="1:25" x14ac:dyDescent="0.35">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c r="T1239">
        <f t="shared" si="114"/>
        <v>668.96</v>
      </c>
      <c r="U1239">
        <f t="shared" si="115"/>
        <v>0</v>
      </c>
      <c r="V1239">
        <f t="shared" si="116"/>
        <v>668.96</v>
      </c>
      <c r="W1239">
        <f t="shared" si="117"/>
        <v>8</v>
      </c>
      <c r="X1239">
        <f t="shared" si="118"/>
        <v>0</v>
      </c>
      <c r="Y1239">
        <f t="shared" si="119"/>
        <v>0</v>
      </c>
    </row>
    <row r="1240" spans="1:25" x14ac:dyDescent="0.35">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c r="T1240">
        <f t="shared" si="114"/>
        <v>3938.2000000000003</v>
      </c>
      <c r="U1240">
        <f t="shared" si="115"/>
        <v>590.73</v>
      </c>
      <c r="V1240">
        <f t="shared" si="116"/>
        <v>3347.4700000000003</v>
      </c>
      <c r="W1240">
        <f t="shared" si="117"/>
        <v>4</v>
      </c>
      <c r="X1240">
        <f t="shared" si="118"/>
        <v>-590.73</v>
      </c>
      <c r="Y1240">
        <f t="shared" si="119"/>
        <v>0</v>
      </c>
    </row>
    <row r="1241" spans="1:25" x14ac:dyDescent="0.35">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c r="T1241">
        <f t="shared" si="114"/>
        <v>100.38</v>
      </c>
      <c r="U1241">
        <f t="shared" si="115"/>
        <v>5.0190000000000001</v>
      </c>
      <c r="V1241">
        <f t="shared" si="116"/>
        <v>95.36099999999999</v>
      </c>
      <c r="W1241">
        <f t="shared" si="117"/>
        <v>3</v>
      </c>
      <c r="X1241">
        <f t="shared" si="118"/>
        <v>-5.0190000000000055</v>
      </c>
      <c r="Y1241">
        <f t="shared" si="119"/>
        <v>0</v>
      </c>
    </row>
    <row r="1242" spans="1:25" x14ac:dyDescent="0.35">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c r="T1242">
        <f t="shared" si="114"/>
        <v>381.91999999999996</v>
      </c>
      <c r="U1242">
        <f t="shared" si="115"/>
        <v>38.192</v>
      </c>
      <c r="V1242">
        <f t="shared" si="116"/>
        <v>343.72799999999995</v>
      </c>
      <c r="W1242">
        <f t="shared" si="117"/>
        <v>2</v>
      </c>
      <c r="X1242">
        <f t="shared" si="118"/>
        <v>-38.192000000000007</v>
      </c>
      <c r="Y1242">
        <f t="shared" si="119"/>
        <v>0</v>
      </c>
    </row>
    <row r="1243" spans="1:25" x14ac:dyDescent="0.35">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c r="T1243">
        <f t="shared" si="114"/>
        <v>105.42</v>
      </c>
      <c r="U1243">
        <f t="shared" si="115"/>
        <v>0</v>
      </c>
      <c r="V1243">
        <f t="shared" si="116"/>
        <v>105.42</v>
      </c>
      <c r="W1243">
        <f t="shared" si="117"/>
        <v>5</v>
      </c>
      <c r="X1243">
        <f t="shared" si="118"/>
        <v>0</v>
      </c>
      <c r="Y1243">
        <f t="shared" si="119"/>
        <v>0</v>
      </c>
    </row>
    <row r="1244" spans="1:25" x14ac:dyDescent="0.35">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c r="T1244">
        <f t="shared" si="114"/>
        <v>5369.87</v>
      </c>
      <c r="U1244">
        <f t="shared" si="115"/>
        <v>268.49349999999998</v>
      </c>
      <c r="V1244">
        <f t="shared" si="116"/>
        <v>5101.3765000000003</v>
      </c>
      <c r="W1244">
        <f t="shared" si="117"/>
        <v>6</v>
      </c>
      <c r="X1244">
        <f t="shared" si="118"/>
        <v>-268.49349999999959</v>
      </c>
      <c r="Y1244">
        <f t="shared" si="119"/>
        <v>0</v>
      </c>
    </row>
    <row r="1245" spans="1:25" x14ac:dyDescent="0.35">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c r="T1245">
        <f t="shared" si="114"/>
        <v>2683.8999999999996</v>
      </c>
      <c r="U1245">
        <f t="shared" si="115"/>
        <v>134.19499999999999</v>
      </c>
      <c r="V1245">
        <f t="shared" si="116"/>
        <v>2549.7049999999995</v>
      </c>
      <c r="W1245">
        <f t="shared" si="117"/>
        <v>6</v>
      </c>
      <c r="X1245">
        <f t="shared" si="118"/>
        <v>-134.19500000000016</v>
      </c>
      <c r="Y1245">
        <f t="shared" si="119"/>
        <v>0</v>
      </c>
    </row>
    <row r="1246" spans="1:25" x14ac:dyDescent="0.35">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c r="T1246">
        <f t="shared" si="114"/>
        <v>320.90000000000003</v>
      </c>
      <c r="U1246">
        <f t="shared" si="115"/>
        <v>32.090000000000003</v>
      </c>
      <c r="V1246">
        <f t="shared" si="116"/>
        <v>288.81000000000006</v>
      </c>
      <c r="W1246">
        <f t="shared" si="117"/>
        <v>5</v>
      </c>
      <c r="X1246">
        <f t="shared" si="118"/>
        <v>-32.089999999999975</v>
      </c>
      <c r="Y1246">
        <f t="shared" si="119"/>
        <v>0</v>
      </c>
    </row>
    <row r="1247" spans="1:25" x14ac:dyDescent="0.35">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c r="T1247">
        <f t="shared" si="114"/>
        <v>6998.25</v>
      </c>
      <c r="U1247">
        <f t="shared" si="115"/>
        <v>349.91250000000002</v>
      </c>
      <c r="V1247">
        <f t="shared" si="116"/>
        <v>6648.3374999999996</v>
      </c>
      <c r="W1247">
        <f t="shared" si="117"/>
        <v>6</v>
      </c>
      <c r="X1247">
        <f t="shared" si="118"/>
        <v>-349.91250000000036</v>
      </c>
      <c r="Y1247">
        <f t="shared" si="119"/>
        <v>0</v>
      </c>
    </row>
    <row r="1248" spans="1:25" x14ac:dyDescent="0.35">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c r="T1248">
        <f t="shared" si="114"/>
        <v>4042.72</v>
      </c>
      <c r="U1248">
        <f t="shared" si="115"/>
        <v>202.136</v>
      </c>
      <c r="V1248">
        <f t="shared" si="116"/>
        <v>3840.5839999999998</v>
      </c>
      <c r="W1248">
        <f t="shared" si="117"/>
        <v>9</v>
      </c>
      <c r="X1248">
        <f t="shared" si="118"/>
        <v>-202.13599999999997</v>
      </c>
      <c r="Y1248">
        <f t="shared" si="119"/>
        <v>0</v>
      </c>
    </row>
    <row r="1249" spans="1:25" x14ac:dyDescent="0.35">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c r="T1249">
        <f t="shared" si="114"/>
        <v>604.5</v>
      </c>
      <c r="U1249">
        <f t="shared" si="115"/>
        <v>60.45</v>
      </c>
      <c r="V1249">
        <f t="shared" si="116"/>
        <v>544.04999999999995</v>
      </c>
      <c r="W1249">
        <f t="shared" si="117"/>
        <v>3</v>
      </c>
      <c r="X1249">
        <f t="shared" si="118"/>
        <v>-60.450000000000045</v>
      </c>
      <c r="Y1249">
        <f t="shared" si="119"/>
        <v>0</v>
      </c>
    </row>
    <row r="1250" spans="1:25" x14ac:dyDescent="0.35">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c r="T1250">
        <f t="shared" si="114"/>
        <v>2821.76</v>
      </c>
      <c r="U1250">
        <f t="shared" si="115"/>
        <v>141.08800000000002</v>
      </c>
      <c r="V1250">
        <f t="shared" si="116"/>
        <v>2680.672</v>
      </c>
      <c r="W1250">
        <f t="shared" si="117"/>
        <v>8</v>
      </c>
      <c r="X1250">
        <f t="shared" si="118"/>
        <v>-141.08800000000019</v>
      </c>
      <c r="Y1250">
        <f t="shared" si="119"/>
        <v>0</v>
      </c>
    </row>
    <row r="1251" spans="1:25" x14ac:dyDescent="0.35">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c r="T1251">
        <f t="shared" si="114"/>
        <v>4736.34</v>
      </c>
      <c r="U1251">
        <f t="shared" si="115"/>
        <v>0</v>
      </c>
      <c r="V1251">
        <f t="shared" si="116"/>
        <v>4736.34</v>
      </c>
      <c r="W1251">
        <f t="shared" si="117"/>
        <v>10</v>
      </c>
      <c r="X1251">
        <f t="shared" si="118"/>
        <v>0</v>
      </c>
      <c r="Y1251">
        <f t="shared" si="119"/>
        <v>0</v>
      </c>
    </row>
    <row r="1252" spans="1:25" x14ac:dyDescent="0.35">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c r="T1252">
        <f t="shared" si="114"/>
        <v>9349.56</v>
      </c>
      <c r="U1252">
        <f t="shared" si="115"/>
        <v>1402.434</v>
      </c>
      <c r="V1252">
        <f t="shared" si="116"/>
        <v>7947.1259999999993</v>
      </c>
      <c r="W1252">
        <f t="shared" si="117"/>
        <v>2</v>
      </c>
      <c r="X1252">
        <f t="shared" si="118"/>
        <v>-1402.4340000000002</v>
      </c>
      <c r="Y1252">
        <f t="shared" si="119"/>
        <v>0</v>
      </c>
    </row>
    <row r="1253" spans="1:25" x14ac:dyDescent="0.35">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c r="T1253">
        <f t="shared" si="114"/>
        <v>1952.28</v>
      </c>
      <c r="U1253">
        <f t="shared" si="115"/>
        <v>97.614000000000004</v>
      </c>
      <c r="V1253">
        <f t="shared" si="116"/>
        <v>1854.6659999999999</v>
      </c>
      <c r="W1253">
        <f t="shared" si="117"/>
        <v>7</v>
      </c>
      <c r="X1253">
        <f t="shared" si="118"/>
        <v>-97.614000000000033</v>
      </c>
      <c r="Y1253">
        <f t="shared" si="119"/>
        <v>0</v>
      </c>
    </row>
    <row r="1254" spans="1:25" x14ac:dyDescent="0.35">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c r="T1254">
        <f t="shared" si="114"/>
        <v>5468.84</v>
      </c>
      <c r="U1254">
        <f t="shared" si="115"/>
        <v>273.44200000000001</v>
      </c>
      <c r="V1254">
        <f t="shared" si="116"/>
        <v>5195.3980000000001</v>
      </c>
      <c r="W1254">
        <f t="shared" si="117"/>
        <v>8</v>
      </c>
      <c r="X1254">
        <f t="shared" si="118"/>
        <v>-273.44200000000001</v>
      </c>
      <c r="Y1254">
        <f t="shared" si="119"/>
        <v>0</v>
      </c>
    </row>
    <row r="1255" spans="1:25" x14ac:dyDescent="0.35">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c r="T1255">
        <f t="shared" si="114"/>
        <v>100.47</v>
      </c>
      <c r="U1255">
        <f t="shared" si="115"/>
        <v>15.070499999999999</v>
      </c>
      <c r="V1255">
        <f t="shared" si="116"/>
        <v>85.399500000000003</v>
      </c>
      <c r="W1255">
        <f t="shared" si="117"/>
        <v>8</v>
      </c>
      <c r="X1255">
        <f t="shared" si="118"/>
        <v>-15.070499999999996</v>
      </c>
      <c r="Y1255">
        <f t="shared" si="119"/>
        <v>0</v>
      </c>
    </row>
    <row r="1256" spans="1:25" x14ac:dyDescent="0.35">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c r="T1256">
        <f t="shared" si="114"/>
        <v>1811.08</v>
      </c>
      <c r="U1256">
        <f t="shared" si="115"/>
        <v>0</v>
      </c>
      <c r="V1256">
        <f t="shared" si="116"/>
        <v>1811.08</v>
      </c>
      <c r="W1256">
        <f t="shared" si="117"/>
        <v>10</v>
      </c>
      <c r="X1256">
        <f t="shared" si="118"/>
        <v>0</v>
      </c>
      <c r="Y1256">
        <f t="shared" si="119"/>
        <v>0</v>
      </c>
    </row>
    <row r="1257" spans="1:25" x14ac:dyDescent="0.35">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c r="T1257">
        <f t="shared" si="114"/>
        <v>1099</v>
      </c>
      <c r="U1257">
        <f t="shared" si="115"/>
        <v>164.85</v>
      </c>
      <c r="V1257">
        <f t="shared" si="116"/>
        <v>934.15</v>
      </c>
      <c r="W1257">
        <f t="shared" si="117"/>
        <v>9</v>
      </c>
      <c r="X1257">
        <f t="shared" si="118"/>
        <v>-164.85000000000002</v>
      </c>
      <c r="Y1257">
        <f t="shared" si="119"/>
        <v>0</v>
      </c>
    </row>
    <row r="1258" spans="1:25" x14ac:dyDescent="0.35">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c r="T1258">
        <f t="shared" si="114"/>
        <v>6059.46</v>
      </c>
      <c r="U1258">
        <f t="shared" si="115"/>
        <v>605.94600000000003</v>
      </c>
      <c r="V1258">
        <f t="shared" si="116"/>
        <v>5453.5140000000001</v>
      </c>
      <c r="W1258">
        <f t="shared" si="117"/>
        <v>5</v>
      </c>
      <c r="X1258">
        <f t="shared" si="118"/>
        <v>-605.94599999999991</v>
      </c>
      <c r="Y1258">
        <f t="shared" si="119"/>
        <v>0</v>
      </c>
    </row>
    <row r="1259" spans="1:25" x14ac:dyDescent="0.35">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c r="T1259">
        <f t="shared" si="114"/>
        <v>863.25</v>
      </c>
      <c r="U1259">
        <f t="shared" si="115"/>
        <v>129.48749999999998</v>
      </c>
      <c r="V1259">
        <f t="shared" si="116"/>
        <v>733.76250000000005</v>
      </c>
      <c r="W1259">
        <f t="shared" si="117"/>
        <v>9</v>
      </c>
      <c r="X1259">
        <f t="shared" si="118"/>
        <v>-129.48749999999995</v>
      </c>
      <c r="Y1259">
        <f t="shared" si="119"/>
        <v>0</v>
      </c>
    </row>
    <row r="1260" spans="1:25" x14ac:dyDescent="0.35">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c r="T1260">
        <f t="shared" si="114"/>
        <v>2324.8000000000002</v>
      </c>
      <c r="U1260">
        <f t="shared" si="115"/>
        <v>0</v>
      </c>
      <c r="V1260">
        <f t="shared" si="116"/>
        <v>2324.8000000000002</v>
      </c>
      <c r="W1260">
        <f t="shared" si="117"/>
        <v>10</v>
      </c>
      <c r="X1260">
        <f t="shared" si="118"/>
        <v>0</v>
      </c>
      <c r="Y1260">
        <f t="shared" si="119"/>
        <v>0</v>
      </c>
    </row>
    <row r="1261" spans="1:25" x14ac:dyDescent="0.35">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c r="T1261">
        <f t="shared" si="114"/>
        <v>673.8</v>
      </c>
      <c r="U1261">
        <f t="shared" si="115"/>
        <v>67.38</v>
      </c>
      <c r="V1261">
        <f t="shared" si="116"/>
        <v>606.41999999999996</v>
      </c>
      <c r="W1261">
        <f t="shared" si="117"/>
        <v>10</v>
      </c>
      <c r="X1261">
        <f t="shared" si="118"/>
        <v>-67.38</v>
      </c>
      <c r="Y1261">
        <f t="shared" si="119"/>
        <v>0</v>
      </c>
    </row>
    <row r="1262" spans="1:25" x14ac:dyDescent="0.35">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c r="T1262">
        <f t="shared" si="114"/>
        <v>2116.9499999999998</v>
      </c>
      <c r="U1262">
        <f t="shared" si="115"/>
        <v>0</v>
      </c>
      <c r="V1262">
        <f t="shared" si="116"/>
        <v>2116.9499999999998</v>
      </c>
      <c r="W1262">
        <f t="shared" si="117"/>
        <v>8</v>
      </c>
      <c r="X1262">
        <f t="shared" si="118"/>
        <v>0</v>
      </c>
      <c r="Y1262">
        <f t="shared" si="119"/>
        <v>0</v>
      </c>
    </row>
    <row r="1263" spans="1:25" x14ac:dyDescent="0.35">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c r="T1263">
        <f t="shared" si="114"/>
        <v>534.61</v>
      </c>
      <c r="U1263">
        <f t="shared" si="115"/>
        <v>26.730500000000003</v>
      </c>
      <c r="V1263">
        <f t="shared" si="116"/>
        <v>507.87950000000001</v>
      </c>
      <c r="W1263">
        <f t="shared" si="117"/>
        <v>9</v>
      </c>
      <c r="X1263">
        <f t="shared" si="118"/>
        <v>-26.730500000000006</v>
      </c>
      <c r="Y1263">
        <f t="shared" si="119"/>
        <v>0</v>
      </c>
    </row>
    <row r="1264" spans="1:25" x14ac:dyDescent="0.35">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c r="T1264">
        <f t="shared" si="114"/>
        <v>5040.3599999999997</v>
      </c>
      <c r="U1264">
        <f t="shared" si="115"/>
        <v>252.018</v>
      </c>
      <c r="V1264">
        <f t="shared" si="116"/>
        <v>4788.3419999999996</v>
      </c>
      <c r="W1264">
        <f t="shared" si="117"/>
        <v>4</v>
      </c>
      <c r="X1264">
        <f t="shared" si="118"/>
        <v>-252.01800000000003</v>
      </c>
      <c r="Y1264">
        <f t="shared" si="119"/>
        <v>0</v>
      </c>
    </row>
    <row r="1265" spans="1:25" x14ac:dyDescent="0.35">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c r="T1265">
        <f t="shared" si="114"/>
        <v>2202.56</v>
      </c>
      <c r="U1265">
        <f t="shared" si="115"/>
        <v>220.256</v>
      </c>
      <c r="V1265">
        <f t="shared" si="116"/>
        <v>1982.3039999999999</v>
      </c>
      <c r="W1265">
        <f t="shared" si="117"/>
        <v>8</v>
      </c>
      <c r="X1265">
        <f t="shared" si="118"/>
        <v>-220.25600000000009</v>
      </c>
      <c r="Y1265">
        <f t="shared" si="119"/>
        <v>0</v>
      </c>
    </row>
    <row r="1266" spans="1:25" x14ac:dyDescent="0.35">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c r="T1266">
        <f t="shared" si="114"/>
        <v>317.19</v>
      </c>
      <c r="U1266">
        <f t="shared" si="115"/>
        <v>15.859500000000001</v>
      </c>
      <c r="V1266">
        <f t="shared" si="116"/>
        <v>301.33049999999997</v>
      </c>
      <c r="W1266">
        <f t="shared" si="117"/>
        <v>7</v>
      </c>
      <c r="X1266">
        <f t="shared" si="118"/>
        <v>-15.859500000000025</v>
      </c>
      <c r="Y1266">
        <f t="shared" si="119"/>
        <v>0</v>
      </c>
    </row>
    <row r="1267" spans="1:25" x14ac:dyDescent="0.35">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c r="T1267">
        <f t="shared" si="114"/>
        <v>8532.15</v>
      </c>
      <c r="U1267">
        <f t="shared" si="115"/>
        <v>853.21500000000003</v>
      </c>
      <c r="V1267">
        <f t="shared" si="116"/>
        <v>7678.9349999999995</v>
      </c>
      <c r="W1267">
        <f t="shared" si="117"/>
        <v>6</v>
      </c>
      <c r="X1267">
        <f t="shared" si="118"/>
        <v>-853.21500000000015</v>
      </c>
      <c r="Y1267">
        <f t="shared" si="119"/>
        <v>0</v>
      </c>
    </row>
    <row r="1268" spans="1:25" x14ac:dyDescent="0.35">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c r="T1268">
        <f t="shared" si="114"/>
        <v>3807.7999999999997</v>
      </c>
      <c r="U1268">
        <f t="shared" si="115"/>
        <v>380.78</v>
      </c>
      <c r="V1268">
        <f t="shared" si="116"/>
        <v>3427.0199999999995</v>
      </c>
      <c r="W1268">
        <f t="shared" si="117"/>
        <v>5</v>
      </c>
      <c r="X1268">
        <f t="shared" si="118"/>
        <v>-380.7800000000002</v>
      </c>
      <c r="Y1268">
        <f t="shared" si="119"/>
        <v>0</v>
      </c>
    </row>
    <row r="1269" spans="1:25" x14ac:dyDescent="0.35">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c r="T1269">
        <f t="shared" si="114"/>
        <v>8234.41</v>
      </c>
      <c r="U1269">
        <f t="shared" si="115"/>
        <v>411.72050000000002</v>
      </c>
      <c r="V1269">
        <f t="shared" si="116"/>
        <v>7822.6894999999995</v>
      </c>
      <c r="W1269">
        <f t="shared" si="117"/>
        <v>9</v>
      </c>
      <c r="X1269">
        <f t="shared" si="118"/>
        <v>-411.72050000000036</v>
      </c>
      <c r="Y1269">
        <f t="shared" si="119"/>
        <v>0</v>
      </c>
    </row>
    <row r="1270" spans="1:25" x14ac:dyDescent="0.35">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c r="T1270">
        <f t="shared" si="114"/>
        <v>92.72</v>
      </c>
      <c r="U1270">
        <f t="shared" si="115"/>
        <v>13.907999999999999</v>
      </c>
      <c r="V1270">
        <f t="shared" si="116"/>
        <v>78.811999999999998</v>
      </c>
      <c r="W1270">
        <f t="shared" si="117"/>
        <v>4</v>
      </c>
      <c r="X1270">
        <f t="shared" si="118"/>
        <v>-13.908000000000001</v>
      </c>
      <c r="Y1270">
        <f t="shared" si="119"/>
        <v>0</v>
      </c>
    </row>
    <row r="1271" spans="1:25" x14ac:dyDescent="0.35">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c r="T1271">
        <f t="shared" si="114"/>
        <v>263.27999999999997</v>
      </c>
      <c r="U1271">
        <f t="shared" si="115"/>
        <v>26.327999999999999</v>
      </c>
      <c r="V1271">
        <f t="shared" si="116"/>
        <v>236.95199999999997</v>
      </c>
      <c r="W1271">
        <f t="shared" si="117"/>
        <v>5</v>
      </c>
      <c r="X1271">
        <f t="shared" si="118"/>
        <v>-26.328000000000003</v>
      </c>
      <c r="Y1271">
        <f t="shared" si="119"/>
        <v>0</v>
      </c>
    </row>
    <row r="1272" spans="1:25" x14ac:dyDescent="0.35">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c r="T1272">
        <f t="shared" si="114"/>
        <v>3944.49</v>
      </c>
      <c r="U1272">
        <f t="shared" si="115"/>
        <v>0</v>
      </c>
      <c r="V1272">
        <f t="shared" si="116"/>
        <v>3944.49</v>
      </c>
      <c r="W1272">
        <f t="shared" si="117"/>
        <v>2</v>
      </c>
      <c r="X1272">
        <f t="shared" si="118"/>
        <v>0</v>
      </c>
      <c r="Y1272">
        <f t="shared" si="119"/>
        <v>0</v>
      </c>
    </row>
    <row r="1273" spans="1:25" x14ac:dyDescent="0.35">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c r="T1273">
        <f t="shared" si="114"/>
        <v>10719.539999999999</v>
      </c>
      <c r="U1273">
        <f t="shared" si="115"/>
        <v>0</v>
      </c>
      <c r="V1273">
        <f t="shared" si="116"/>
        <v>10719.539999999999</v>
      </c>
      <c r="W1273">
        <f t="shared" si="117"/>
        <v>2</v>
      </c>
      <c r="X1273">
        <f t="shared" si="118"/>
        <v>0</v>
      </c>
      <c r="Y1273">
        <f t="shared" si="119"/>
        <v>0</v>
      </c>
    </row>
    <row r="1274" spans="1:25" x14ac:dyDescent="0.35">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c r="T1274">
        <f t="shared" si="114"/>
        <v>8040.4800000000005</v>
      </c>
      <c r="U1274">
        <f t="shared" si="115"/>
        <v>1206.0720000000001</v>
      </c>
      <c r="V1274">
        <f t="shared" si="116"/>
        <v>6834.4080000000004</v>
      </c>
      <c r="W1274">
        <f t="shared" si="117"/>
        <v>10</v>
      </c>
      <c r="X1274">
        <f t="shared" si="118"/>
        <v>-1206.0720000000001</v>
      </c>
      <c r="Y1274">
        <f t="shared" si="119"/>
        <v>0</v>
      </c>
    </row>
    <row r="1275" spans="1:25" x14ac:dyDescent="0.35">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c r="T1275">
        <f t="shared" si="114"/>
        <v>7994.34</v>
      </c>
      <c r="U1275">
        <f t="shared" si="115"/>
        <v>0</v>
      </c>
      <c r="V1275">
        <f t="shared" si="116"/>
        <v>7994.34</v>
      </c>
      <c r="W1275">
        <f t="shared" si="117"/>
        <v>3</v>
      </c>
      <c r="X1275">
        <f t="shared" si="118"/>
        <v>0</v>
      </c>
      <c r="Y1275">
        <f t="shared" si="119"/>
        <v>0</v>
      </c>
    </row>
    <row r="1276" spans="1:25" x14ac:dyDescent="0.35">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c r="T1276">
        <f t="shared" si="114"/>
        <v>8197.93</v>
      </c>
      <c r="U1276">
        <f t="shared" si="115"/>
        <v>819.79300000000012</v>
      </c>
      <c r="V1276">
        <f t="shared" si="116"/>
        <v>7378.1370000000006</v>
      </c>
      <c r="W1276">
        <f t="shared" si="117"/>
        <v>5</v>
      </c>
      <c r="X1276">
        <f t="shared" si="118"/>
        <v>-819.79299999999967</v>
      </c>
      <c r="Y1276">
        <f t="shared" si="119"/>
        <v>0</v>
      </c>
    </row>
    <row r="1277" spans="1:25" x14ac:dyDescent="0.35">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c r="T1277">
        <f t="shared" si="114"/>
        <v>1282.31</v>
      </c>
      <c r="U1277">
        <f t="shared" si="115"/>
        <v>0</v>
      </c>
      <c r="V1277">
        <f t="shared" si="116"/>
        <v>1282.31</v>
      </c>
      <c r="W1277">
        <f t="shared" si="117"/>
        <v>10</v>
      </c>
      <c r="X1277">
        <f t="shared" si="118"/>
        <v>0</v>
      </c>
      <c r="Y1277">
        <f t="shared" si="119"/>
        <v>0</v>
      </c>
    </row>
    <row r="1278" spans="1:25" x14ac:dyDescent="0.35">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c r="T1278">
        <f t="shared" si="114"/>
        <v>282.37</v>
      </c>
      <c r="U1278">
        <f t="shared" si="115"/>
        <v>42.355499999999999</v>
      </c>
      <c r="V1278">
        <f t="shared" si="116"/>
        <v>240.0145</v>
      </c>
      <c r="W1278">
        <f t="shared" si="117"/>
        <v>2</v>
      </c>
      <c r="X1278">
        <f t="shared" si="118"/>
        <v>-42.355500000000006</v>
      </c>
      <c r="Y1278">
        <f t="shared" si="119"/>
        <v>0</v>
      </c>
    </row>
    <row r="1279" spans="1:25" x14ac:dyDescent="0.35">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c r="T1279">
        <f t="shared" si="114"/>
        <v>1474.76</v>
      </c>
      <c r="U1279">
        <f t="shared" si="115"/>
        <v>0</v>
      </c>
      <c r="V1279">
        <f t="shared" si="116"/>
        <v>1474.76</v>
      </c>
      <c r="W1279">
        <f t="shared" si="117"/>
        <v>4</v>
      </c>
      <c r="X1279">
        <f t="shared" si="118"/>
        <v>0</v>
      </c>
      <c r="Y1279">
        <f t="shared" si="119"/>
        <v>0</v>
      </c>
    </row>
    <row r="1280" spans="1:25" x14ac:dyDescent="0.35">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c r="T1280">
        <f t="shared" si="114"/>
        <v>1799.07</v>
      </c>
      <c r="U1280">
        <f t="shared" si="115"/>
        <v>89.953500000000005</v>
      </c>
      <c r="V1280">
        <f t="shared" si="116"/>
        <v>1709.1164999999999</v>
      </c>
      <c r="W1280">
        <f t="shared" si="117"/>
        <v>7</v>
      </c>
      <c r="X1280">
        <f t="shared" si="118"/>
        <v>-89.953500000000076</v>
      </c>
      <c r="Y1280">
        <f t="shared" si="119"/>
        <v>0</v>
      </c>
    </row>
    <row r="1281" spans="1:25" x14ac:dyDescent="0.35">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c r="T1281">
        <f t="shared" si="114"/>
        <v>1197.5600000000002</v>
      </c>
      <c r="U1281">
        <f t="shared" si="115"/>
        <v>0</v>
      </c>
      <c r="V1281">
        <f t="shared" si="116"/>
        <v>1197.5600000000002</v>
      </c>
      <c r="W1281">
        <f t="shared" si="117"/>
        <v>4</v>
      </c>
      <c r="X1281">
        <f t="shared" si="118"/>
        <v>0</v>
      </c>
      <c r="Y1281">
        <f t="shared" si="119"/>
        <v>0</v>
      </c>
    </row>
    <row r="1282" spans="1:25" x14ac:dyDescent="0.35">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c r="T1282">
        <f t="shared" si="114"/>
        <v>2408.4</v>
      </c>
      <c r="U1282">
        <f t="shared" si="115"/>
        <v>361.26</v>
      </c>
      <c r="V1282">
        <f t="shared" si="116"/>
        <v>2047.14</v>
      </c>
      <c r="W1282">
        <f t="shared" si="117"/>
        <v>5</v>
      </c>
      <c r="X1282">
        <f t="shared" si="118"/>
        <v>-361.26</v>
      </c>
      <c r="Y1282">
        <f t="shared" si="119"/>
        <v>0</v>
      </c>
    </row>
    <row r="1283" spans="1:25" x14ac:dyDescent="0.35">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c r="T1283">
        <f t="shared" ref="T1283:T1346" si="120">D1283*E1283</f>
        <v>3927.7500000000005</v>
      </c>
      <c r="U1283">
        <f t="shared" ref="U1283:U1346" si="121">T1283*H1283</f>
        <v>589.16250000000002</v>
      </c>
      <c r="V1283">
        <f t="shared" ref="V1283:V1346" si="122">T1283-U1283</f>
        <v>3338.5875000000005</v>
      </c>
      <c r="W1283">
        <f t="shared" ref="W1283:W1346" si="123">R1283-Q1283</f>
        <v>5</v>
      </c>
      <c r="X1283">
        <f t="shared" ref="X1283:X1346" si="124">V1283-(E1283*D1283)</f>
        <v>-589.16249999999991</v>
      </c>
      <c r="Y1283">
        <f t="shared" ref="Y1283:Y1346" si="125">IF(M1283 = "Yes", -V1283,0)</f>
        <v>0</v>
      </c>
    </row>
    <row r="1284" spans="1:25" x14ac:dyDescent="0.35">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c r="T1284">
        <f t="shared" si="120"/>
        <v>2195.27</v>
      </c>
      <c r="U1284">
        <f t="shared" si="121"/>
        <v>109.76350000000001</v>
      </c>
      <c r="V1284">
        <f t="shared" si="122"/>
        <v>2085.5065</v>
      </c>
      <c r="W1284">
        <f t="shared" si="123"/>
        <v>2</v>
      </c>
      <c r="X1284">
        <f t="shared" si="124"/>
        <v>-109.76350000000002</v>
      </c>
      <c r="Y1284">
        <f t="shared" si="125"/>
        <v>0</v>
      </c>
    </row>
    <row r="1285" spans="1:25" x14ac:dyDescent="0.35">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c r="T1285">
        <f t="shared" si="120"/>
        <v>2524.7999999999997</v>
      </c>
      <c r="U1285">
        <f t="shared" si="121"/>
        <v>126.24</v>
      </c>
      <c r="V1285">
        <f t="shared" si="122"/>
        <v>2398.56</v>
      </c>
      <c r="W1285">
        <f t="shared" si="123"/>
        <v>2</v>
      </c>
      <c r="X1285">
        <f t="shared" si="124"/>
        <v>-126.23999999999978</v>
      </c>
      <c r="Y1285">
        <f t="shared" si="125"/>
        <v>0</v>
      </c>
    </row>
    <row r="1286" spans="1:25" x14ac:dyDescent="0.35">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c r="T1286">
        <f t="shared" si="120"/>
        <v>226.72</v>
      </c>
      <c r="U1286">
        <f t="shared" si="121"/>
        <v>11.336</v>
      </c>
      <c r="V1286">
        <f t="shared" si="122"/>
        <v>215.38399999999999</v>
      </c>
      <c r="W1286">
        <f t="shared" si="123"/>
        <v>7</v>
      </c>
      <c r="X1286">
        <f t="shared" si="124"/>
        <v>-11.336000000000013</v>
      </c>
      <c r="Y1286">
        <f t="shared" si="125"/>
        <v>0</v>
      </c>
    </row>
    <row r="1287" spans="1:25" x14ac:dyDescent="0.35">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c r="T1287">
        <f t="shared" si="120"/>
        <v>8417.2099999999991</v>
      </c>
      <c r="U1287">
        <f t="shared" si="121"/>
        <v>841.721</v>
      </c>
      <c r="V1287">
        <f t="shared" si="122"/>
        <v>7575.4889999999996</v>
      </c>
      <c r="W1287">
        <f t="shared" si="123"/>
        <v>9</v>
      </c>
      <c r="X1287">
        <f t="shared" si="124"/>
        <v>-841.72099999999955</v>
      </c>
      <c r="Y1287">
        <f t="shared" si="125"/>
        <v>0</v>
      </c>
    </row>
    <row r="1288" spans="1:25" x14ac:dyDescent="0.35">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c r="T1288">
        <f t="shared" si="120"/>
        <v>1988.7000000000003</v>
      </c>
      <c r="U1288">
        <f t="shared" si="121"/>
        <v>99.435000000000016</v>
      </c>
      <c r="V1288">
        <f t="shared" si="122"/>
        <v>1889.2650000000003</v>
      </c>
      <c r="W1288">
        <f t="shared" si="123"/>
        <v>6</v>
      </c>
      <c r="X1288">
        <f t="shared" si="124"/>
        <v>-99.434999999999945</v>
      </c>
      <c r="Y1288">
        <f t="shared" si="125"/>
        <v>0</v>
      </c>
    </row>
    <row r="1289" spans="1:25" x14ac:dyDescent="0.35">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c r="T1289">
        <f t="shared" si="120"/>
        <v>8069.76</v>
      </c>
      <c r="U1289">
        <f t="shared" si="121"/>
        <v>0</v>
      </c>
      <c r="V1289">
        <f t="shared" si="122"/>
        <v>8069.76</v>
      </c>
      <c r="W1289">
        <f t="shared" si="123"/>
        <v>3</v>
      </c>
      <c r="X1289">
        <f t="shared" si="124"/>
        <v>0</v>
      </c>
      <c r="Y1289">
        <f t="shared" si="125"/>
        <v>0</v>
      </c>
    </row>
    <row r="1290" spans="1:25" x14ac:dyDescent="0.35">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c r="T1290">
        <f t="shared" si="120"/>
        <v>855.4</v>
      </c>
      <c r="U1290">
        <f t="shared" si="121"/>
        <v>0</v>
      </c>
      <c r="V1290">
        <f t="shared" si="122"/>
        <v>855.4</v>
      </c>
      <c r="W1290">
        <f t="shared" si="123"/>
        <v>9</v>
      </c>
      <c r="X1290">
        <f t="shared" si="124"/>
        <v>0</v>
      </c>
      <c r="Y1290">
        <f t="shared" si="125"/>
        <v>0</v>
      </c>
    </row>
    <row r="1291" spans="1:25" x14ac:dyDescent="0.35">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c r="T1291">
        <f t="shared" si="120"/>
        <v>2368.94</v>
      </c>
      <c r="U1291">
        <f t="shared" si="121"/>
        <v>355.34100000000001</v>
      </c>
      <c r="V1291">
        <f t="shared" si="122"/>
        <v>2013.5990000000002</v>
      </c>
      <c r="W1291">
        <f t="shared" si="123"/>
        <v>2</v>
      </c>
      <c r="X1291">
        <f t="shared" si="124"/>
        <v>-355.34099999999989</v>
      </c>
      <c r="Y1291">
        <f t="shared" si="125"/>
        <v>0</v>
      </c>
    </row>
    <row r="1292" spans="1:25" x14ac:dyDescent="0.35">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c r="T1292">
        <f t="shared" si="120"/>
        <v>899</v>
      </c>
      <c r="U1292">
        <f t="shared" si="121"/>
        <v>0</v>
      </c>
      <c r="V1292">
        <f t="shared" si="122"/>
        <v>899</v>
      </c>
      <c r="W1292">
        <f t="shared" si="123"/>
        <v>8</v>
      </c>
      <c r="X1292">
        <f t="shared" si="124"/>
        <v>0</v>
      </c>
      <c r="Y1292">
        <f t="shared" si="125"/>
        <v>0</v>
      </c>
    </row>
    <row r="1293" spans="1:25" x14ac:dyDescent="0.35">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c r="T1293">
        <f t="shared" si="120"/>
        <v>8155.36</v>
      </c>
      <c r="U1293">
        <f t="shared" si="121"/>
        <v>815.53600000000006</v>
      </c>
      <c r="V1293">
        <f t="shared" si="122"/>
        <v>7339.8239999999996</v>
      </c>
      <c r="W1293">
        <f t="shared" si="123"/>
        <v>9</v>
      </c>
      <c r="X1293">
        <f t="shared" si="124"/>
        <v>-815.53600000000006</v>
      </c>
      <c r="Y1293">
        <f t="shared" si="125"/>
        <v>0</v>
      </c>
    </row>
    <row r="1294" spans="1:25" x14ac:dyDescent="0.35">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c r="T1294">
        <f t="shared" si="120"/>
        <v>4165.84</v>
      </c>
      <c r="U1294">
        <f t="shared" si="121"/>
        <v>416.58400000000006</v>
      </c>
      <c r="V1294">
        <f t="shared" si="122"/>
        <v>3749.2560000000003</v>
      </c>
      <c r="W1294">
        <f t="shared" si="123"/>
        <v>7</v>
      </c>
      <c r="X1294">
        <f t="shared" si="124"/>
        <v>-416.58399999999983</v>
      </c>
      <c r="Y1294">
        <f t="shared" si="125"/>
        <v>0</v>
      </c>
    </row>
    <row r="1295" spans="1:25" x14ac:dyDescent="0.35">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c r="T1295">
        <f t="shared" si="120"/>
        <v>4746.43</v>
      </c>
      <c r="U1295">
        <f t="shared" si="121"/>
        <v>237.32150000000001</v>
      </c>
      <c r="V1295">
        <f t="shared" si="122"/>
        <v>4509.1085000000003</v>
      </c>
      <c r="W1295">
        <f t="shared" si="123"/>
        <v>6</v>
      </c>
      <c r="X1295">
        <f t="shared" si="124"/>
        <v>-237.32150000000001</v>
      </c>
      <c r="Y1295">
        <f t="shared" si="125"/>
        <v>0</v>
      </c>
    </row>
    <row r="1296" spans="1:25" x14ac:dyDescent="0.35">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c r="T1296">
        <f t="shared" si="120"/>
        <v>139.13</v>
      </c>
      <c r="U1296">
        <f t="shared" si="121"/>
        <v>0</v>
      </c>
      <c r="V1296">
        <f t="shared" si="122"/>
        <v>139.13</v>
      </c>
      <c r="W1296">
        <f t="shared" si="123"/>
        <v>3</v>
      </c>
      <c r="X1296">
        <f t="shared" si="124"/>
        <v>0</v>
      </c>
      <c r="Y1296">
        <f t="shared" si="125"/>
        <v>0</v>
      </c>
    </row>
    <row r="1297" spans="1:25" x14ac:dyDescent="0.35">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c r="T1297">
        <f t="shared" si="120"/>
        <v>3263.34</v>
      </c>
      <c r="U1297">
        <f t="shared" si="121"/>
        <v>0</v>
      </c>
      <c r="V1297">
        <f t="shared" si="122"/>
        <v>3263.34</v>
      </c>
      <c r="W1297">
        <f t="shared" si="123"/>
        <v>10</v>
      </c>
      <c r="X1297">
        <f t="shared" si="124"/>
        <v>0</v>
      </c>
      <c r="Y1297">
        <f t="shared" si="125"/>
        <v>0</v>
      </c>
    </row>
    <row r="1298" spans="1:25" x14ac:dyDescent="0.35">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c r="T1298">
        <f t="shared" si="120"/>
        <v>4174.3</v>
      </c>
      <c r="U1298">
        <f t="shared" si="121"/>
        <v>0</v>
      </c>
      <c r="V1298">
        <f t="shared" si="122"/>
        <v>4174.3</v>
      </c>
      <c r="W1298">
        <f t="shared" si="123"/>
        <v>6</v>
      </c>
      <c r="X1298">
        <f t="shared" si="124"/>
        <v>0</v>
      </c>
      <c r="Y1298">
        <f t="shared" si="125"/>
        <v>0</v>
      </c>
    </row>
    <row r="1299" spans="1:25" x14ac:dyDescent="0.35">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c r="T1299">
        <f t="shared" si="120"/>
        <v>566.04</v>
      </c>
      <c r="U1299">
        <f t="shared" si="121"/>
        <v>28.302</v>
      </c>
      <c r="V1299">
        <f t="shared" si="122"/>
        <v>537.73799999999994</v>
      </c>
      <c r="W1299">
        <f t="shared" si="123"/>
        <v>6</v>
      </c>
      <c r="X1299">
        <f t="shared" si="124"/>
        <v>-28.302000000000021</v>
      </c>
      <c r="Y1299">
        <f t="shared" si="125"/>
        <v>0</v>
      </c>
    </row>
    <row r="1300" spans="1:25" x14ac:dyDescent="0.35">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c r="T1300">
        <f t="shared" si="120"/>
        <v>4379.22</v>
      </c>
      <c r="U1300">
        <f t="shared" si="121"/>
        <v>656.88300000000004</v>
      </c>
      <c r="V1300">
        <f t="shared" si="122"/>
        <v>3722.3370000000004</v>
      </c>
      <c r="W1300">
        <f t="shared" si="123"/>
        <v>4</v>
      </c>
      <c r="X1300">
        <f t="shared" si="124"/>
        <v>-656.88299999999981</v>
      </c>
      <c r="Y1300">
        <f t="shared" si="125"/>
        <v>0</v>
      </c>
    </row>
    <row r="1301" spans="1:25" x14ac:dyDescent="0.35">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c r="T1301">
        <f t="shared" si="120"/>
        <v>6946.32</v>
      </c>
      <c r="U1301">
        <f t="shared" si="121"/>
        <v>1041.9479999999999</v>
      </c>
      <c r="V1301">
        <f t="shared" si="122"/>
        <v>5904.3719999999994</v>
      </c>
      <c r="W1301">
        <f t="shared" si="123"/>
        <v>8</v>
      </c>
      <c r="X1301">
        <f t="shared" si="124"/>
        <v>-1041.9480000000003</v>
      </c>
      <c r="Y1301">
        <f t="shared" si="125"/>
        <v>0</v>
      </c>
    </row>
    <row r="1302" spans="1:25" x14ac:dyDescent="0.35">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c r="T1302">
        <f t="shared" si="120"/>
        <v>1378.1599999999999</v>
      </c>
      <c r="U1302">
        <f t="shared" si="121"/>
        <v>0</v>
      </c>
      <c r="V1302">
        <f t="shared" si="122"/>
        <v>1378.1599999999999</v>
      </c>
      <c r="W1302">
        <f t="shared" si="123"/>
        <v>8</v>
      </c>
      <c r="X1302">
        <f t="shared" si="124"/>
        <v>0</v>
      </c>
      <c r="Y1302">
        <f t="shared" si="125"/>
        <v>0</v>
      </c>
    </row>
    <row r="1303" spans="1:25" x14ac:dyDescent="0.35">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c r="T1303">
        <f t="shared" si="120"/>
        <v>3124.24</v>
      </c>
      <c r="U1303">
        <f t="shared" si="121"/>
        <v>312.42399999999998</v>
      </c>
      <c r="V1303">
        <f t="shared" si="122"/>
        <v>2811.8159999999998</v>
      </c>
      <c r="W1303">
        <f t="shared" si="123"/>
        <v>7</v>
      </c>
      <c r="X1303">
        <f t="shared" si="124"/>
        <v>-312.42399999999998</v>
      </c>
      <c r="Y1303">
        <f t="shared" si="125"/>
        <v>0</v>
      </c>
    </row>
    <row r="1304" spans="1:25" x14ac:dyDescent="0.35">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c r="T1304">
        <f t="shared" si="120"/>
        <v>4921.18</v>
      </c>
      <c r="U1304">
        <f t="shared" si="121"/>
        <v>0</v>
      </c>
      <c r="V1304">
        <f t="shared" si="122"/>
        <v>4921.18</v>
      </c>
      <c r="W1304">
        <f t="shared" si="123"/>
        <v>7</v>
      </c>
      <c r="X1304">
        <f t="shared" si="124"/>
        <v>0</v>
      </c>
      <c r="Y1304">
        <f t="shared" si="125"/>
        <v>0</v>
      </c>
    </row>
    <row r="1305" spans="1:25" x14ac:dyDescent="0.35">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c r="T1305">
        <f t="shared" si="120"/>
        <v>3854.7599999999998</v>
      </c>
      <c r="U1305">
        <f t="shared" si="121"/>
        <v>385.476</v>
      </c>
      <c r="V1305">
        <f t="shared" si="122"/>
        <v>3469.2839999999997</v>
      </c>
      <c r="W1305">
        <f t="shared" si="123"/>
        <v>4</v>
      </c>
      <c r="X1305">
        <f t="shared" si="124"/>
        <v>-385.47600000000011</v>
      </c>
      <c r="Y1305">
        <f t="shared" si="125"/>
        <v>0</v>
      </c>
    </row>
    <row r="1306" spans="1:25" x14ac:dyDescent="0.35">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c r="T1306">
        <f t="shared" si="120"/>
        <v>55.28</v>
      </c>
      <c r="U1306">
        <f t="shared" si="121"/>
        <v>8.2919999999999998</v>
      </c>
      <c r="V1306">
        <f t="shared" si="122"/>
        <v>46.988</v>
      </c>
      <c r="W1306">
        <f t="shared" si="123"/>
        <v>9</v>
      </c>
      <c r="X1306">
        <f t="shared" si="124"/>
        <v>-8.2920000000000016</v>
      </c>
      <c r="Y1306">
        <f t="shared" si="125"/>
        <v>0</v>
      </c>
    </row>
    <row r="1307" spans="1:25" x14ac:dyDescent="0.35">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c r="T1307">
        <f t="shared" si="120"/>
        <v>7468.1</v>
      </c>
      <c r="U1307">
        <f t="shared" si="121"/>
        <v>0</v>
      </c>
      <c r="V1307">
        <f t="shared" si="122"/>
        <v>7468.1</v>
      </c>
      <c r="W1307">
        <f t="shared" si="123"/>
        <v>3</v>
      </c>
      <c r="X1307">
        <f t="shared" si="124"/>
        <v>0</v>
      </c>
      <c r="Y1307">
        <f t="shared" si="125"/>
        <v>0</v>
      </c>
    </row>
    <row r="1308" spans="1:25" x14ac:dyDescent="0.35">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c r="T1308">
        <f t="shared" si="120"/>
        <v>8607.15</v>
      </c>
      <c r="U1308">
        <f t="shared" si="121"/>
        <v>0</v>
      </c>
      <c r="V1308">
        <f t="shared" si="122"/>
        <v>8607.15</v>
      </c>
      <c r="W1308">
        <f t="shared" si="123"/>
        <v>2</v>
      </c>
      <c r="X1308">
        <f t="shared" si="124"/>
        <v>0</v>
      </c>
      <c r="Y1308">
        <f t="shared" si="125"/>
        <v>0</v>
      </c>
    </row>
    <row r="1309" spans="1:25" x14ac:dyDescent="0.35">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c r="T1309">
        <f t="shared" si="120"/>
        <v>6841.14</v>
      </c>
      <c r="U1309">
        <f t="shared" si="121"/>
        <v>342.05700000000002</v>
      </c>
      <c r="V1309">
        <f t="shared" si="122"/>
        <v>6499.0830000000005</v>
      </c>
      <c r="W1309">
        <f t="shared" si="123"/>
        <v>8</v>
      </c>
      <c r="X1309">
        <f t="shared" si="124"/>
        <v>-342.05699999999979</v>
      </c>
      <c r="Y1309">
        <f t="shared" si="125"/>
        <v>0</v>
      </c>
    </row>
    <row r="1310" spans="1:25" x14ac:dyDescent="0.35">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c r="T1310">
        <f t="shared" si="120"/>
        <v>3746.4000000000005</v>
      </c>
      <c r="U1310">
        <f t="shared" si="121"/>
        <v>374.6400000000001</v>
      </c>
      <c r="V1310">
        <f t="shared" si="122"/>
        <v>3371.76</v>
      </c>
      <c r="W1310">
        <f t="shared" si="123"/>
        <v>10</v>
      </c>
      <c r="X1310">
        <f t="shared" si="124"/>
        <v>-374.64000000000033</v>
      </c>
      <c r="Y1310">
        <f t="shared" si="125"/>
        <v>0</v>
      </c>
    </row>
    <row r="1311" spans="1:25" x14ac:dyDescent="0.35">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c r="T1311">
        <f t="shared" si="120"/>
        <v>3061.47</v>
      </c>
      <c r="U1311">
        <f t="shared" si="121"/>
        <v>0</v>
      </c>
      <c r="V1311">
        <f t="shared" si="122"/>
        <v>3061.47</v>
      </c>
      <c r="W1311">
        <f t="shared" si="123"/>
        <v>5</v>
      </c>
      <c r="X1311">
        <f t="shared" si="124"/>
        <v>0</v>
      </c>
      <c r="Y1311">
        <f t="shared" si="125"/>
        <v>0</v>
      </c>
    </row>
    <row r="1312" spans="1:25" x14ac:dyDescent="0.35">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c r="T1312">
        <f t="shared" si="120"/>
        <v>325.60000000000002</v>
      </c>
      <c r="U1312">
        <f t="shared" si="121"/>
        <v>48.84</v>
      </c>
      <c r="V1312">
        <f t="shared" si="122"/>
        <v>276.76</v>
      </c>
      <c r="W1312">
        <f t="shared" si="123"/>
        <v>3</v>
      </c>
      <c r="X1312">
        <f t="shared" si="124"/>
        <v>-48.840000000000032</v>
      </c>
      <c r="Y1312">
        <f t="shared" si="125"/>
        <v>0</v>
      </c>
    </row>
    <row r="1313" spans="1:25" x14ac:dyDescent="0.35">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c r="T1313">
        <f t="shared" si="120"/>
        <v>2766.24</v>
      </c>
      <c r="U1313">
        <f t="shared" si="121"/>
        <v>414.93599999999998</v>
      </c>
      <c r="V1313">
        <f t="shared" si="122"/>
        <v>2351.3039999999996</v>
      </c>
      <c r="W1313">
        <f t="shared" si="123"/>
        <v>8</v>
      </c>
      <c r="X1313">
        <f t="shared" si="124"/>
        <v>-414.93600000000015</v>
      </c>
      <c r="Y1313">
        <f t="shared" si="125"/>
        <v>0</v>
      </c>
    </row>
    <row r="1314" spans="1:25" x14ac:dyDescent="0.35">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c r="T1314">
        <f t="shared" si="120"/>
        <v>240.3</v>
      </c>
      <c r="U1314">
        <f t="shared" si="121"/>
        <v>0</v>
      </c>
      <c r="V1314">
        <f t="shared" si="122"/>
        <v>240.3</v>
      </c>
      <c r="W1314">
        <f t="shared" si="123"/>
        <v>8</v>
      </c>
      <c r="X1314">
        <f t="shared" si="124"/>
        <v>0</v>
      </c>
      <c r="Y1314">
        <f t="shared" si="125"/>
        <v>0</v>
      </c>
    </row>
    <row r="1315" spans="1:25" x14ac:dyDescent="0.35">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c r="T1315">
        <f t="shared" si="120"/>
        <v>390.32</v>
      </c>
      <c r="U1315">
        <f t="shared" si="121"/>
        <v>39.032000000000004</v>
      </c>
      <c r="V1315">
        <f t="shared" si="122"/>
        <v>351.28800000000001</v>
      </c>
      <c r="W1315">
        <f t="shared" si="123"/>
        <v>9</v>
      </c>
      <c r="X1315">
        <f t="shared" si="124"/>
        <v>-39.031999999999982</v>
      </c>
      <c r="Y1315">
        <f t="shared" si="125"/>
        <v>0</v>
      </c>
    </row>
    <row r="1316" spans="1:25" x14ac:dyDescent="0.35">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c r="T1316">
        <f t="shared" si="120"/>
        <v>98.32</v>
      </c>
      <c r="U1316">
        <f t="shared" si="121"/>
        <v>14.747999999999998</v>
      </c>
      <c r="V1316">
        <f t="shared" si="122"/>
        <v>83.572000000000003</v>
      </c>
      <c r="W1316">
        <f t="shared" si="123"/>
        <v>9</v>
      </c>
      <c r="X1316">
        <f t="shared" si="124"/>
        <v>-14.74799999999999</v>
      </c>
      <c r="Y1316">
        <f t="shared" si="125"/>
        <v>0</v>
      </c>
    </row>
    <row r="1317" spans="1:25" x14ac:dyDescent="0.35">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c r="T1317">
        <f t="shared" si="120"/>
        <v>1009.64</v>
      </c>
      <c r="U1317">
        <f t="shared" si="121"/>
        <v>0</v>
      </c>
      <c r="V1317">
        <f t="shared" si="122"/>
        <v>1009.64</v>
      </c>
      <c r="W1317">
        <f t="shared" si="123"/>
        <v>5</v>
      </c>
      <c r="X1317">
        <f t="shared" si="124"/>
        <v>0</v>
      </c>
      <c r="Y1317">
        <f t="shared" si="125"/>
        <v>0</v>
      </c>
    </row>
    <row r="1318" spans="1:25" x14ac:dyDescent="0.35">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c r="T1318">
        <f t="shared" si="120"/>
        <v>4690.13</v>
      </c>
      <c r="U1318">
        <f t="shared" si="121"/>
        <v>469.01300000000003</v>
      </c>
      <c r="V1318">
        <f t="shared" si="122"/>
        <v>4221.1170000000002</v>
      </c>
      <c r="W1318">
        <f t="shared" si="123"/>
        <v>7</v>
      </c>
      <c r="X1318">
        <f t="shared" si="124"/>
        <v>-469.01299999999992</v>
      </c>
      <c r="Y1318">
        <f t="shared" si="125"/>
        <v>0</v>
      </c>
    </row>
    <row r="1319" spans="1:25" x14ac:dyDescent="0.35">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c r="T1319">
        <f t="shared" si="120"/>
        <v>1175.1299999999999</v>
      </c>
      <c r="U1319">
        <f t="shared" si="121"/>
        <v>117.51299999999999</v>
      </c>
      <c r="V1319">
        <f t="shared" si="122"/>
        <v>1057.617</v>
      </c>
      <c r="W1319">
        <f t="shared" si="123"/>
        <v>7</v>
      </c>
      <c r="X1319">
        <f t="shared" si="124"/>
        <v>-117.51299999999992</v>
      </c>
      <c r="Y1319">
        <f t="shared" si="125"/>
        <v>0</v>
      </c>
    </row>
    <row r="1320" spans="1:25" x14ac:dyDescent="0.35">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c r="T1320">
        <f t="shared" si="120"/>
        <v>3752.6400000000003</v>
      </c>
      <c r="U1320">
        <f t="shared" si="121"/>
        <v>0</v>
      </c>
      <c r="V1320">
        <f t="shared" si="122"/>
        <v>3752.6400000000003</v>
      </c>
      <c r="W1320">
        <f t="shared" si="123"/>
        <v>10</v>
      </c>
      <c r="X1320">
        <f t="shared" si="124"/>
        <v>0</v>
      </c>
      <c r="Y1320">
        <f t="shared" si="125"/>
        <v>0</v>
      </c>
    </row>
    <row r="1321" spans="1:25" x14ac:dyDescent="0.35">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c r="T1321">
        <f t="shared" si="120"/>
        <v>4007.88</v>
      </c>
      <c r="U1321">
        <f t="shared" si="121"/>
        <v>200.39400000000001</v>
      </c>
      <c r="V1321">
        <f t="shared" si="122"/>
        <v>3807.4859999999999</v>
      </c>
      <c r="W1321">
        <f t="shared" si="123"/>
        <v>3</v>
      </c>
      <c r="X1321">
        <f t="shared" si="124"/>
        <v>-200.39400000000023</v>
      </c>
      <c r="Y1321">
        <f t="shared" si="125"/>
        <v>0</v>
      </c>
    </row>
    <row r="1322" spans="1:25" x14ac:dyDescent="0.35">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c r="T1322">
        <f t="shared" si="120"/>
        <v>4862.6500000000005</v>
      </c>
      <c r="U1322">
        <f t="shared" si="121"/>
        <v>243.13250000000005</v>
      </c>
      <c r="V1322">
        <f t="shared" si="122"/>
        <v>4619.5175000000008</v>
      </c>
      <c r="W1322">
        <f t="shared" si="123"/>
        <v>7</v>
      </c>
      <c r="X1322">
        <f t="shared" si="124"/>
        <v>-243.13249999999971</v>
      </c>
      <c r="Y1322">
        <f t="shared" si="125"/>
        <v>0</v>
      </c>
    </row>
    <row r="1323" spans="1:25" x14ac:dyDescent="0.35">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c r="T1323">
        <f t="shared" si="120"/>
        <v>3644.19</v>
      </c>
      <c r="U1323">
        <f t="shared" si="121"/>
        <v>364.41900000000004</v>
      </c>
      <c r="V1323">
        <f t="shared" si="122"/>
        <v>3279.7710000000002</v>
      </c>
      <c r="W1323">
        <f t="shared" si="123"/>
        <v>2</v>
      </c>
      <c r="X1323">
        <f t="shared" si="124"/>
        <v>-364.41899999999987</v>
      </c>
      <c r="Y1323">
        <f t="shared" si="125"/>
        <v>0</v>
      </c>
    </row>
    <row r="1324" spans="1:25" x14ac:dyDescent="0.35">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c r="T1324">
        <f t="shared" si="120"/>
        <v>2667.6</v>
      </c>
      <c r="U1324">
        <f t="shared" si="121"/>
        <v>0</v>
      </c>
      <c r="V1324">
        <f t="shared" si="122"/>
        <v>2667.6</v>
      </c>
      <c r="W1324">
        <f t="shared" si="123"/>
        <v>2</v>
      </c>
      <c r="X1324">
        <f t="shared" si="124"/>
        <v>0</v>
      </c>
      <c r="Y1324">
        <f t="shared" si="125"/>
        <v>0</v>
      </c>
    </row>
    <row r="1325" spans="1:25" x14ac:dyDescent="0.35">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c r="T1325">
        <f t="shared" si="120"/>
        <v>4922.3999999999996</v>
      </c>
      <c r="U1325">
        <f t="shared" si="121"/>
        <v>0</v>
      </c>
      <c r="V1325">
        <f t="shared" si="122"/>
        <v>4922.3999999999996</v>
      </c>
      <c r="W1325">
        <f t="shared" si="123"/>
        <v>7</v>
      </c>
      <c r="X1325">
        <f t="shared" si="124"/>
        <v>0</v>
      </c>
      <c r="Y1325">
        <f t="shared" si="125"/>
        <v>0</v>
      </c>
    </row>
    <row r="1326" spans="1:25" x14ac:dyDescent="0.35">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c r="T1326">
        <f t="shared" si="120"/>
        <v>4892.13</v>
      </c>
      <c r="U1326">
        <f t="shared" si="121"/>
        <v>733.81949999999995</v>
      </c>
      <c r="V1326">
        <f t="shared" si="122"/>
        <v>4158.3105000000005</v>
      </c>
      <c r="W1326">
        <f t="shared" si="123"/>
        <v>5</v>
      </c>
      <c r="X1326">
        <f t="shared" si="124"/>
        <v>-733.81949999999961</v>
      </c>
      <c r="Y1326">
        <f t="shared" si="125"/>
        <v>0</v>
      </c>
    </row>
    <row r="1327" spans="1:25" x14ac:dyDescent="0.35">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c r="T1327">
        <f t="shared" si="120"/>
        <v>2409.92</v>
      </c>
      <c r="U1327">
        <f t="shared" si="121"/>
        <v>240.99200000000002</v>
      </c>
      <c r="V1327">
        <f t="shared" si="122"/>
        <v>2168.9279999999999</v>
      </c>
      <c r="W1327">
        <f t="shared" si="123"/>
        <v>8</v>
      </c>
      <c r="X1327">
        <f t="shared" si="124"/>
        <v>-240.99200000000019</v>
      </c>
      <c r="Y1327">
        <f t="shared" si="125"/>
        <v>0</v>
      </c>
    </row>
    <row r="1328" spans="1:25" x14ac:dyDescent="0.35">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c r="T1328">
        <f t="shared" si="120"/>
        <v>6032.4</v>
      </c>
      <c r="U1328">
        <f t="shared" si="121"/>
        <v>603.24</v>
      </c>
      <c r="V1328">
        <f t="shared" si="122"/>
        <v>5429.16</v>
      </c>
      <c r="W1328">
        <f t="shared" si="123"/>
        <v>6</v>
      </c>
      <c r="X1328">
        <f t="shared" si="124"/>
        <v>-603.23999999999978</v>
      </c>
      <c r="Y1328">
        <f t="shared" si="125"/>
        <v>0</v>
      </c>
    </row>
    <row r="1329" spans="1:25" x14ac:dyDescent="0.35">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c r="T1329">
        <f t="shared" si="120"/>
        <v>1554.3000000000002</v>
      </c>
      <c r="U1329">
        <f t="shared" si="121"/>
        <v>77.715000000000018</v>
      </c>
      <c r="V1329">
        <f t="shared" si="122"/>
        <v>1476.5850000000003</v>
      </c>
      <c r="W1329">
        <f t="shared" si="123"/>
        <v>5</v>
      </c>
      <c r="X1329">
        <f t="shared" si="124"/>
        <v>-77.714999999999918</v>
      </c>
      <c r="Y1329">
        <f t="shared" si="125"/>
        <v>0</v>
      </c>
    </row>
    <row r="1330" spans="1:25" x14ac:dyDescent="0.35">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c r="T1330">
        <f t="shared" si="120"/>
        <v>3667.14</v>
      </c>
      <c r="U1330">
        <f t="shared" si="121"/>
        <v>0</v>
      </c>
      <c r="V1330">
        <f t="shared" si="122"/>
        <v>3667.14</v>
      </c>
      <c r="W1330">
        <f t="shared" si="123"/>
        <v>9</v>
      </c>
      <c r="X1330">
        <f t="shared" si="124"/>
        <v>0</v>
      </c>
      <c r="Y1330">
        <f t="shared" si="125"/>
        <v>0</v>
      </c>
    </row>
    <row r="1331" spans="1:25" x14ac:dyDescent="0.35">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c r="T1331">
        <f t="shared" si="120"/>
        <v>1392.33</v>
      </c>
      <c r="U1331">
        <f t="shared" si="121"/>
        <v>208.84949999999998</v>
      </c>
      <c r="V1331">
        <f t="shared" si="122"/>
        <v>1183.4804999999999</v>
      </c>
      <c r="W1331">
        <f t="shared" si="123"/>
        <v>5</v>
      </c>
      <c r="X1331">
        <f t="shared" si="124"/>
        <v>-208.84950000000003</v>
      </c>
      <c r="Y1331">
        <f t="shared" si="125"/>
        <v>0</v>
      </c>
    </row>
    <row r="1332" spans="1:25" x14ac:dyDescent="0.35">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c r="T1332">
        <f t="shared" si="120"/>
        <v>884.06</v>
      </c>
      <c r="U1332">
        <f t="shared" si="121"/>
        <v>132.60899999999998</v>
      </c>
      <c r="V1332">
        <f t="shared" si="122"/>
        <v>751.45100000000002</v>
      </c>
      <c r="W1332">
        <f t="shared" si="123"/>
        <v>2</v>
      </c>
      <c r="X1332">
        <f t="shared" si="124"/>
        <v>-132.60899999999992</v>
      </c>
      <c r="Y1332">
        <f t="shared" si="125"/>
        <v>0</v>
      </c>
    </row>
    <row r="1333" spans="1:25" x14ac:dyDescent="0.35">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c r="T1333">
        <f t="shared" si="120"/>
        <v>580.37</v>
      </c>
      <c r="U1333">
        <f t="shared" si="121"/>
        <v>29.018500000000003</v>
      </c>
      <c r="V1333">
        <f t="shared" si="122"/>
        <v>551.35149999999999</v>
      </c>
      <c r="W1333">
        <f t="shared" si="123"/>
        <v>10</v>
      </c>
      <c r="X1333">
        <f t="shared" si="124"/>
        <v>-29.018500000000017</v>
      </c>
      <c r="Y1333">
        <f t="shared" si="125"/>
        <v>0</v>
      </c>
    </row>
    <row r="1334" spans="1:25" x14ac:dyDescent="0.35">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c r="T1334">
        <f t="shared" si="120"/>
        <v>6086.08</v>
      </c>
      <c r="U1334">
        <f t="shared" si="121"/>
        <v>912.91199999999992</v>
      </c>
      <c r="V1334">
        <f t="shared" si="122"/>
        <v>5173.1679999999997</v>
      </c>
      <c r="W1334">
        <f t="shared" si="123"/>
        <v>9</v>
      </c>
      <c r="X1334">
        <f t="shared" si="124"/>
        <v>-912.91200000000026</v>
      </c>
      <c r="Y1334">
        <f t="shared" si="125"/>
        <v>0</v>
      </c>
    </row>
    <row r="1335" spans="1:25" x14ac:dyDescent="0.35">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c r="T1335">
        <f t="shared" si="120"/>
        <v>33.96</v>
      </c>
      <c r="U1335">
        <f t="shared" si="121"/>
        <v>1.6980000000000002</v>
      </c>
      <c r="V1335">
        <f t="shared" si="122"/>
        <v>32.262</v>
      </c>
      <c r="W1335">
        <f t="shared" si="123"/>
        <v>3</v>
      </c>
      <c r="X1335">
        <f t="shared" si="124"/>
        <v>-1.6980000000000004</v>
      </c>
      <c r="Y1335">
        <f t="shared" si="125"/>
        <v>0</v>
      </c>
    </row>
    <row r="1336" spans="1:25" x14ac:dyDescent="0.35">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c r="T1336">
        <f t="shared" si="120"/>
        <v>378.36</v>
      </c>
      <c r="U1336">
        <f t="shared" si="121"/>
        <v>18.918000000000003</v>
      </c>
      <c r="V1336">
        <f t="shared" si="122"/>
        <v>359.44200000000001</v>
      </c>
      <c r="W1336">
        <f t="shared" si="123"/>
        <v>9</v>
      </c>
      <c r="X1336">
        <f t="shared" si="124"/>
        <v>-18.918000000000006</v>
      </c>
      <c r="Y1336">
        <f t="shared" si="125"/>
        <v>0</v>
      </c>
    </row>
    <row r="1337" spans="1:25" x14ac:dyDescent="0.35">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c r="T1337">
        <f t="shared" si="120"/>
        <v>366.36</v>
      </c>
      <c r="U1337">
        <f t="shared" si="121"/>
        <v>0</v>
      </c>
      <c r="V1337">
        <f t="shared" si="122"/>
        <v>366.36</v>
      </c>
      <c r="W1337">
        <f t="shared" si="123"/>
        <v>8</v>
      </c>
      <c r="X1337">
        <f t="shared" si="124"/>
        <v>0</v>
      </c>
      <c r="Y1337">
        <f t="shared" si="125"/>
        <v>0</v>
      </c>
    </row>
    <row r="1338" spans="1:25" x14ac:dyDescent="0.35">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c r="T1338">
        <f t="shared" si="120"/>
        <v>1372.8400000000001</v>
      </c>
      <c r="U1338">
        <f t="shared" si="121"/>
        <v>137.28400000000002</v>
      </c>
      <c r="V1338">
        <f t="shared" si="122"/>
        <v>1235.556</v>
      </c>
      <c r="W1338">
        <f t="shared" si="123"/>
        <v>10</v>
      </c>
      <c r="X1338">
        <f t="shared" si="124"/>
        <v>-137.28400000000011</v>
      </c>
      <c r="Y1338">
        <f t="shared" si="125"/>
        <v>0</v>
      </c>
    </row>
    <row r="1339" spans="1:25" x14ac:dyDescent="0.35">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c r="T1339">
        <f t="shared" si="120"/>
        <v>1981.76</v>
      </c>
      <c r="U1339">
        <f t="shared" si="121"/>
        <v>297.26400000000001</v>
      </c>
      <c r="V1339">
        <f t="shared" si="122"/>
        <v>1684.4960000000001</v>
      </c>
      <c r="W1339">
        <f t="shared" si="123"/>
        <v>9</v>
      </c>
      <c r="X1339">
        <f t="shared" si="124"/>
        <v>-297.2639999999999</v>
      </c>
      <c r="Y1339">
        <f t="shared" si="125"/>
        <v>0</v>
      </c>
    </row>
    <row r="1340" spans="1:25" x14ac:dyDescent="0.35">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c r="T1340">
        <f t="shared" si="120"/>
        <v>1444.8</v>
      </c>
      <c r="U1340">
        <f t="shared" si="121"/>
        <v>72.239999999999995</v>
      </c>
      <c r="V1340">
        <f t="shared" si="122"/>
        <v>1372.56</v>
      </c>
      <c r="W1340">
        <f t="shared" si="123"/>
        <v>5</v>
      </c>
      <c r="X1340">
        <f t="shared" si="124"/>
        <v>-72.240000000000009</v>
      </c>
      <c r="Y1340">
        <f t="shared" si="125"/>
        <v>0</v>
      </c>
    </row>
    <row r="1341" spans="1:25" x14ac:dyDescent="0.35">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c r="T1341">
        <f t="shared" si="120"/>
        <v>8476.380000000001</v>
      </c>
      <c r="U1341">
        <f t="shared" si="121"/>
        <v>847.63800000000015</v>
      </c>
      <c r="V1341">
        <f t="shared" si="122"/>
        <v>7628.7420000000011</v>
      </c>
      <c r="W1341">
        <f t="shared" si="123"/>
        <v>4</v>
      </c>
      <c r="X1341">
        <f t="shared" si="124"/>
        <v>-847.63799999999992</v>
      </c>
      <c r="Y1341">
        <f t="shared" si="125"/>
        <v>0</v>
      </c>
    </row>
    <row r="1342" spans="1:25" x14ac:dyDescent="0.35">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c r="T1342">
        <f t="shared" si="120"/>
        <v>4601.3999999999996</v>
      </c>
      <c r="U1342">
        <f t="shared" si="121"/>
        <v>0</v>
      </c>
      <c r="V1342">
        <f t="shared" si="122"/>
        <v>4601.3999999999996</v>
      </c>
      <c r="W1342">
        <f t="shared" si="123"/>
        <v>2</v>
      </c>
      <c r="X1342">
        <f t="shared" si="124"/>
        <v>0</v>
      </c>
      <c r="Y1342">
        <f t="shared" si="125"/>
        <v>0</v>
      </c>
    </row>
    <row r="1343" spans="1:25" x14ac:dyDescent="0.35">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c r="T1343">
        <f t="shared" si="120"/>
        <v>5878.8</v>
      </c>
      <c r="U1343">
        <f t="shared" si="121"/>
        <v>881.82</v>
      </c>
      <c r="V1343">
        <f t="shared" si="122"/>
        <v>4996.9800000000005</v>
      </c>
      <c r="W1343">
        <f t="shared" si="123"/>
        <v>7</v>
      </c>
      <c r="X1343">
        <f t="shared" si="124"/>
        <v>-881.81999999999971</v>
      </c>
      <c r="Y1343">
        <f t="shared" si="125"/>
        <v>0</v>
      </c>
    </row>
    <row r="1344" spans="1:25" x14ac:dyDescent="0.35">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c r="T1344">
        <f t="shared" si="120"/>
        <v>908.02</v>
      </c>
      <c r="U1344">
        <f t="shared" si="121"/>
        <v>0</v>
      </c>
      <c r="V1344">
        <f t="shared" si="122"/>
        <v>908.02</v>
      </c>
      <c r="W1344">
        <f t="shared" si="123"/>
        <v>2</v>
      </c>
      <c r="X1344">
        <f t="shared" si="124"/>
        <v>0</v>
      </c>
      <c r="Y1344">
        <f t="shared" si="125"/>
        <v>0</v>
      </c>
    </row>
    <row r="1345" spans="1:25" x14ac:dyDescent="0.35">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c r="T1345">
        <f t="shared" si="120"/>
        <v>817.75</v>
      </c>
      <c r="U1345">
        <f t="shared" si="121"/>
        <v>40.887500000000003</v>
      </c>
      <c r="V1345">
        <f t="shared" si="122"/>
        <v>776.86249999999995</v>
      </c>
      <c r="W1345">
        <f t="shared" si="123"/>
        <v>7</v>
      </c>
      <c r="X1345">
        <f t="shared" si="124"/>
        <v>-40.887500000000045</v>
      </c>
      <c r="Y1345">
        <f t="shared" si="125"/>
        <v>0</v>
      </c>
    </row>
    <row r="1346" spans="1:25" x14ac:dyDescent="0.35">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c r="T1346">
        <f t="shared" si="120"/>
        <v>1699.3200000000002</v>
      </c>
      <c r="U1346">
        <f t="shared" si="121"/>
        <v>0</v>
      </c>
      <c r="V1346">
        <f t="shared" si="122"/>
        <v>1699.3200000000002</v>
      </c>
      <c r="W1346">
        <f t="shared" si="123"/>
        <v>10</v>
      </c>
      <c r="X1346">
        <f t="shared" si="124"/>
        <v>0</v>
      </c>
      <c r="Y1346">
        <f t="shared" si="125"/>
        <v>0</v>
      </c>
    </row>
    <row r="1347" spans="1:25" x14ac:dyDescent="0.35">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c r="T1347">
        <f t="shared" ref="T1347:T1410" si="126">D1347*E1347</f>
        <v>1993.08</v>
      </c>
      <c r="U1347">
        <f t="shared" ref="U1347:U1410" si="127">T1347*H1347</f>
        <v>199.30799999999999</v>
      </c>
      <c r="V1347">
        <f t="shared" ref="V1347:V1410" si="128">T1347-U1347</f>
        <v>1793.7719999999999</v>
      </c>
      <c r="W1347">
        <f t="shared" ref="W1347:W1410" si="129">R1347-Q1347</f>
        <v>4</v>
      </c>
      <c r="X1347">
        <f t="shared" ref="X1347:X1410" si="130">V1347-(E1347*D1347)</f>
        <v>-199.30799999999999</v>
      </c>
      <c r="Y1347">
        <f t="shared" ref="Y1347:Y1410" si="131">IF(M1347 = "Yes", -V1347,0)</f>
        <v>0</v>
      </c>
    </row>
    <row r="1348" spans="1:25" x14ac:dyDescent="0.35">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c r="T1348">
        <f t="shared" si="126"/>
        <v>6495.44</v>
      </c>
      <c r="U1348">
        <f t="shared" si="127"/>
        <v>974.31599999999992</v>
      </c>
      <c r="V1348">
        <f t="shared" si="128"/>
        <v>5521.1239999999998</v>
      </c>
      <c r="W1348">
        <f t="shared" si="129"/>
        <v>9</v>
      </c>
      <c r="X1348">
        <f t="shared" si="130"/>
        <v>-974.3159999999998</v>
      </c>
      <c r="Y1348">
        <f t="shared" si="131"/>
        <v>0</v>
      </c>
    </row>
    <row r="1349" spans="1:25" x14ac:dyDescent="0.35">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c r="T1349">
        <f t="shared" si="126"/>
        <v>682.69999999999993</v>
      </c>
      <c r="U1349">
        <f t="shared" si="127"/>
        <v>102.40499999999999</v>
      </c>
      <c r="V1349">
        <f t="shared" si="128"/>
        <v>580.29499999999996</v>
      </c>
      <c r="W1349">
        <f t="shared" si="129"/>
        <v>10</v>
      </c>
      <c r="X1349">
        <f t="shared" si="130"/>
        <v>-102.40499999999997</v>
      </c>
      <c r="Y1349">
        <f t="shared" si="131"/>
        <v>0</v>
      </c>
    </row>
    <row r="1350" spans="1:25" x14ac:dyDescent="0.35">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c r="T1350">
        <f t="shared" si="126"/>
        <v>216.08</v>
      </c>
      <c r="U1350">
        <f t="shared" si="127"/>
        <v>10.804000000000002</v>
      </c>
      <c r="V1350">
        <f t="shared" si="128"/>
        <v>205.27600000000001</v>
      </c>
      <c r="W1350">
        <f t="shared" si="129"/>
        <v>6</v>
      </c>
      <c r="X1350">
        <f t="shared" si="130"/>
        <v>-10.804000000000002</v>
      </c>
      <c r="Y1350">
        <f t="shared" si="131"/>
        <v>0</v>
      </c>
    </row>
    <row r="1351" spans="1:25" x14ac:dyDescent="0.35">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c r="T1351">
        <f t="shared" si="126"/>
        <v>709.19999999999993</v>
      </c>
      <c r="U1351">
        <f t="shared" si="127"/>
        <v>70.92</v>
      </c>
      <c r="V1351">
        <f t="shared" si="128"/>
        <v>638.28</v>
      </c>
      <c r="W1351">
        <f t="shared" si="129"/>
        <v>10</v>
      </c>
      <c r="X1351">
        <f t="shared" si="130"/>
        <v>-70.919999999999959</v>
      </c>
      <c r="Y1351">
        <f t="shared" si="131"/>
        <v>0</v>
      </c>
    </row>
    <row r="1352" spans="1:25" x14ac:dyDescent="0.35">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c r="T1352">
        <f t="shared" si="126"/>
        <v>2794.88</v>
      </c>
      <c r="U1352">
        <f t="shared" si="127"/>
        <v>419.23200000000003</v>
      </c>
      <c r="V1352">
        <f t="shared" si="128"/>
        <v>2375.6480000000001</v>
      </c>
      <c r="W1352">
        <f t="shared" si="129"/>
        <v>4</v>
      </c>
      <c r="X1352">
        <f t="shared" si="130"/>
        <v>-419.23199999999997</v>
      </c>
      <c r="Y1352">
        <f t="shared" si="131"/>
        <v>0</v>
      </c>
    </row>
    <row r="1353" spans="1:25" x14ac:dyDescent="0.35">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c r="T1353">
        <f t="shared" si="126"/>
        <v>1224.24</v>
      </c>
      <c r="U1353">
        <f t="shared" si="127"/>
        <v>61.212000000000003</v>
      </c>
      <c r="V1353">
        <f t="shared" si="128"/>
        <v>1163.028</v>
      </c>
      <c r="W1353">
        <f t="shared" si="129"/>
        <v>3</v>
      </c>
      <c r="X1353">
        <f t="shared" si="130"/>
        <v>-61.211999999999989</v>
      </c>
      <c r="Y1353">
        <f t="shared" si="131"/>
        <v>0</v>
      </c>
    </row>
    <row r="1354" spans="1:25" x14ac:dyDescent="0.35">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c r="T1354">
        <f t="shared" si="126"/>
        <v>1970.6399999999999</v>
      </c>
      <c r="U1354">
        <f t="shared" si="127"/>
        <v>0</v>
      </c>
      <c r="V1354">
        <f t="shared" si="128"/>
        <v>1970.6399999999999</v>
      </c>
      <c r="W1354">
        <f t="shared" si="129"/>
        <v>5</v>
      </c>
      <c r="X1354">
        <f t="shared" si="130"/>
        <v>0</v>
      </c>
      <c r="Y1354">
        <f t="shared" si="131"/>
        <v>0</v>
      </c>
    </row>
    <row r="1355" spans="1:25" x14ac:dyDescent="0.35">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c r="T1355">
        <f t="shared" si="126"/>
        <v>6725.8</v>
      </c>
      <c r="U1355">
        <f t="shared" si="127"/>
        <v>0</v>
      </c>
      <c r="V1355">
        <f t="shared" si="128"/>
        <v>6725.8</v>
      </c>
      <c r="W1355">
        <f t="shared" si="129"/>
        <v>9</v>
      </c>
      <c r="X1355">
        <f t="shared" si="130"/>
        <v>0</v>
      </c>
      <c r="Y1355">
        <f t="shared" si="131"/>
        <v>0</v>
      </c>
    </row>
    <row r="1356" spans="1:25" x14ac:dyDescent="0.35">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c r="T1356">
        <f t="shared" si="126"/>
        <v>1261.75</v>
      </c>
      <c r="U1356">
        <f t="shared" si="127"/>
        <v>126.17500000000001</v>
      </c>
      <c r="V1356">
        <f t="shared" si="128"/>
        <v>1135.575</v>
      </c>
      <c r="W1356">
        <f t="shared" si="129"/>
        <v>2</v>
      </c>
      <c r="X1356">
        <f t="shared" si="130"/>
        <v>-126.17499999999995</v>
      </c>
      <c r="Y1356">
        <f t="shared" si="131"/>
        <v>0</v>
      </c>
    </row>
    <row r="1357" spans="1:25" x14ac:dyDescent="0.35">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c r="T1357">
        <f t="shared" si="126"/>
        <v>21.75</v>
      </c>
      <c r="U1357">
        <f t="shared" si="127"/>
        <v>0</v>
      </c>
      <c r="V1357">
        <f t="shared" si="128"/>
        <v>21.75</v>
      </c>
      <c r="W1357">
        <f t="shared" si="129"/>
        <v>9</v>
      </c>
      <c r="X1357">
        <f t="shared" si="130"/>
        <v>0</v>
      </c>
      <c r="Y1357">
        <f t="shared" si="131"/>
        <v>0</v>
      </c>
    </row>
    <row r="1358" spans="1:25" x14ac:dyDescent="0.35">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c r="T1358">
        <f t="shared" si="126"/>
        <v>1939.08</v>
      </c>
      <c r="U1358">
        <f t="shared" si="127"/>
        <v>193.90800000000002</v>
      </c>
      <c r="V1358">
        <f t="shared" si="128"/>
        <v>1745.172</v>
      </c>
      <c r="W1358">
        <f t="shared" si="129"/>
        <v>8</v>
      </c>
      <c r="X1358">
        <f t="shared" si="130"/>
        <v>-193.9079999999999</v>
      </c>
      <c r="Y1358">
        <f t="shared" si="131"/>
        <v>0</v>
      </c>
    </row>
    <row r="1359" spans="1:25" x14ac:dyDescent="0.35">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c r="T1359">
        <f t="shared" si="126"/>
        <v>1546.3</v>
      </c>
      <c r="U1359">
        <f t="shared" si="127"/>
        <v>231.94499999999999</v>
      </c>
      <c r="V1359">
        <f t="shared" si="128"/>
        <v>1314.355</v>
      </c>
      <c r="W1359">
        <f t="shared" si="129"/>
        <v>10</v>
      </c>
      <c r="X1359">
        <f t="shared" si="130"/>
        <v>-231.94499999999994</v>
      </c>
      <c r="Y1359">
        <f t="shared" si="131"/>
        <v>0</v>
      </c>
    </row>
    <row r="1360" spans="1:25" x14ac:dyDescent="0.35">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c r="T1360">
        <f t="shared" si="126"/>
        <v>364.27</v>
      </c>
      <c r="U1360">
        <f t="shared" si="127"/>
        <v>36.427</v>
      </c>
      <c r="V1360">
        <f t="shared" si="128"/>
        <v>327.84299999999996</v>
      </c>
      <c r="W1360">
        <f t="shared" si="129"/>
        <v>7</v>
      </c>
      <c r="X1360">
        <f t="shared" si="130"/>
        <v>-36.427000000000021</v>
      </c>
      <c r="Y1360">
        <f t="shared" si="131"/>
        <v>0</v>
      </c>
    </row>
    <row r="1361" spans="1:25" x14ac:dyDescent="0.35">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c r="T1361">
        <f t="shared" si="126"/>
        <v>2757.78</v>
      </c>
      <c r="U1361">
        <f t="shared" si="127"/>
        <v>0</v>
      </c>
      <c r="V1361">
        <f t="shared" si="128"/>
        <v>2757.78</v>
      </c>
      <c r="W1361">
        <f t="shared" si="129"/>
        <v>9</v>
      </c>
      <c r="X1361">
        <f t="shared" si="130"/>
        <v>0</v>
      </c>
      <c r="Y1361">
        <f t="shared" si="131"/>
        <v>0</v>
      </c>
    </row>
    <row r="1362" spans="1:25" x14ac:dyDescent="0.35">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c r="T1362">
        <f t="shared" si="126"/>
        <v>10602</v>
      </c>
      <c r="U1362">
        <f t="shared" si="127"/>
        <v>1060.2</v>
      </c>
      <c r="V1362">
        <f t="shared" si="128"/>
        <v>9541.7999999999993</v>
      </c>
      <c r="W1362">
        <f t="shared" si="129"/>
        <v>9</v>
      </c>
      <c r="X1362">
        <f t="shared" si="130"/>
        <v>-1060.2000000000007</v>
      </c>
      <c r="Y1362">
        <f t="shared" si="131"/>
        <v>0</v>
      </c>
    </row>
    <row r="1363" spans="1:25" x14ac:dyDescent="0.35">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c r="T1363">
        <f t="shared" si="126"/>
        <v>3991.2</v>
      </c>
      <c r="U1363">
        <f t="shared" si="127"/>
        <v>399.12</v>
      </c>
      <c r="V1363">
        <f t="shared" si="128"/>
        <v>3592.08</v>
      </c>
      <c r="W1363">
        <f t="shared" si="129"/>
        <v>7</v>
      </c>
      <c r="X1363">
        <f t="shared" si="130"/>
        <v>-399.11999999999989</v>
      </c>
      <c r="Y1363">
        <f t="shared" si="131"/>
        <v>0</v>
      </c>
    </row>
    <row r="1364" spans="1:25" x14ac:dyDescent="0.35">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c r="T1364">
        <f t="shared" si="126"/>
        <v>8806.4</v>
      </c>
      <c r="U1364">
        <f t="shared" si="127"/>
        <v>440.32</v>
      </c>
      <c r="V1364">
        <f t="shared" si="128"/>
        <v>8366.08</v>
      </c>
      <c r="W1364">
        <f t="shared" si="129"/>
        <v>10</v>
      </c>
      <c r="X1364">
        <f t="shared" si="130"/>
        <v>-440.31999999999971</v>
      </c>
      <c r="Y1364">
        <f t="shared" si="131"/>
        <v>0</v>
      </c>
    </row>
    <row r="1365" spans="1:25" x14ac:dyDescent="0.35">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c r="T1365">
        <f t="shared" si="126"/>
        <v>304.02</v>
      </c>
      <c r="U1365">
        <f t="shared" si="127"/>
        <v>0</v>
      </c>
      <c r="V1365">
        <f t="shared" si="128"/>
        <v>304.02</v>
      </c>
      <c r="W1365">
        <f t="shared" si="129"/>
        <v>2</v>
      </c>
      <c r="X1365">
        <f t="shared" si="130"/>
        <v>0</v>
      </c>
      <c r="Y1365">
        <f t="shared" si="131"/>
        <v>0</v>
      </c>
    </row>
    <row r="1366" spans="1:25" x14ac:dyDescent="0.35">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c r="T1366">
        <f t="shared" si="126"/>
        <v>5297.37</v>
      </c>
      <c r="U1366">
        <f t="shared" si="127"/>
        <v>264.86849999999998</v>
      </c>
      <c r="V1366">
        <f t="shared" si="128"/>
        <v>5032.5015000000003</v>
      </c>
      <c r="W1366">
        <f t="shared" si="129"/>
        <v>6</v>
      </c>
      <c r="X1366">
        <f t="shared" si="130"/>
        <v>-264.86849999999959</v>
      </c>
      <c r="Y1366">
        <f t="shared" si="131"/>
        <v>0</v>
      </c>
    </row>
    <row r="1367" spans="1:25" x14ac:dyDescent="0.35">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c r="T1367">
        <f t="shared" si="126"/>
        <v>882.36</v>
      </c>
      <c r="U1367">
        <f t="shared" si="127"/>
        <v>132.35399999999998</v>
      </c>
      <c r="V1367">
        <f t="shared" si="128"/>
        <v>750.00600000000009</v>
      </c>
      <c r="W1367">
        <f t="shared" si="129"/>
        <v>7</v>
      </c>
      <c r="X1367">
        <f t="shared" si="130"/>
        <v>-132.35399999999993</v>
      </c>
      <c r="Y1367">
        <f t="shared" si="131"/>
        <v>0</v>
      </c>
    </row>
    <row r="1368" spans="1:25" x14ac:dyDescent="0.35">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c r="T1368">
        <f t="shared" si="126"/>
        <v>5733.2000000000007</v>
      </c>
      <c r="U1368">
        <f t="shared" si="127"/>
        <v>573.32000000000005</v>
      </c>
      <c r="V1368">
        <f t="shared" si="128"/>
        <v>5159.880000000001</v>
      </c>
      <c r="W1368">
        <f t="shared" si="129"/>
        <v>4</v>
      </c>
      <c r="X1368">
        <f t="shared" si="130"/>
        <v>-573.31999999999971</v>
      </c>
      <c r="Y1368">
        <f t="shared" si="131"/>
        <v>0</v>
      </c>
    </row>
    <row r="1369" spans="1:25" x14ac:dyDescent="0.35">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c r="T1369">
        <f t="shared" si="126"/>
        <v>6287.19</v>
      </c>
      <c r="U1369">
        <f t="shared" si="127"/>
        <v>314.35950000000003</v>
      </c>
      <c r="V1369">
        <f t="shared" si="128"/>
        <v>5972.8305</v>
      </c>
      <c r="W1369">
        <f t="shared" si="129"/>
        <v>9</v>
      </c>
      <c r="X1369">
        <f t="shared" si="130"/>
        <v>-314.35949999999957</v>
      </c>
      <c r="Y1369">
        <f t="shared" si="131"/>
        <v>0</v>
      </c>
    </row>
    <row r="1370" spans="1:25" x14ac:dyDescent="0.35">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c r="T1370">
        <f t="shared" si="126"/>
        <v>2433.1999999999998</v>
      </c>
      <c r="U1370">
        <f t="shared" si="127"/>
        <v>121.66</v>
      </c>
      <c r="V1370">
        <f t="shared" si="128"/>
        <v>2311.54</v>
      </c>
      <c r="W1370">
        <f t="shared" si="129"/>
        <v>3</v>
      </c>
      <c r="X1370">
        <f t="shared" si="130"/>
        <v>-121.65999999999985</v>
      </c>
      <c r="Y1370">
        <f t="shared" si="131"/>
        <v>0</v>
      </c>
    </row>
    <row r="1371" spans="1:25" x14ac:dyDescent="0.35">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c r="T1371">
        <f t="shared" si="126"/>
        <v>4522.0999999999995</v>
      </c>
      <c r="U1371">
        <f t="shared" si="127"/>
        <v>452.21</v>
      </c>
      <c r="V1371">
        <f t="shared" si="128"/>
        <v>4069.8899999999994</v>
      </c>
      <c r="W1371">
        <f t="shared" si="129"/>
        <v>10</v>
      </c>
      <c r="X1371">
        <f t="shared" si="130"/>
        <v>-452.21000000000004</v>
      </c>
      <c r="Y1371">
        <f t="shared" si="131"/>
        <v>0</v>
      </c>
    </row>
    <row r="1372" spans="1:25" x14ac:dyDescent="0.35">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c r="T1372">
        <f t="shared" si="126"/>
        <v>992.64</v>
      </c>
      <c r="U1372">
        <f t="shared" si="127"/>
        <v>99.26400000000001</v>
      </c>
      <c r="V1372">
        <f t="shared" si="128"/>
        <v>893.37599999999998</v>
      </c>
      <c r="W1372">
        <f t="shared" si="129"/>
        <v>3</v>
      </c>
      <c r="X1372">
        <f t="shared" si="130"/>
        <v>-99.26400000000001</v>
      </c>
      <c r="Y1372">
        <f t="shared" si="131"/>
        <v>0</v>
      </c>
    </row>
    <row r="1373" spans="1:25" x14ac:dyDescent="0.35">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c r="T1373">
        <f t="shared" si="126"/>
        <v>2080</v>
      </c>
      <c r="U1373">
        <f t="shared" si="127"/>
        <v>0</v>
      </c>
      <c r="V1373">
        <f t="shared" si="128"/>
        <v>2080</v>
      </c>
      <c r="W1373">
        <f t="shared" si="129"/>
        <v>9</v>
      </c>
      <c r="X1373">
        <f t="shared" si="130"/>
        <v>0</v>
      </c>
      <c r="Y1373">
        <f t="shared" si="131"/>
        <v>0</v>
      </c>
    </row>
    <row r="1374" spans="1:25" x14ac:dyDescent="0.35">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c r="T1374">
        <f t="shared" si="126"/>
        <v>6281.77</v>
      </c>
      <c r="U1374">
        <f t="shared" si="127"/>
        <v>0</v>
      </c>
      <c r="V1374">
        <f t="shared" si="128"/>
        <v>6281.77</v>
      </c>
      <c r="W1374">
        <f t="shared" si="129"/>
        <v>5</v>
      </c>
      <c r="X1374">
        <f t="shared" si="130"/>
        <v>0</v>
      </c>
      <c r="Y1374">
        <f t="shared" si="131"/>
        <v>0</v>
      </c>
    </row>
    <row r="1375" spans="1:25" x14ac:dyDescent="0.35">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c r="T1375">
        <f t="shared" si="126"/>
        <v>721.27</v>
      </c>
      <c r="U1375">
        <f t="shared" si="127"/>
        <v>72.126999999999995</v>
      </c>
      <c r="V1375">
        <f t="shared" si="128"/>
        <v>649.14300000000003</v>
      </c>
      <c r="W1375">
        <f t="shared" si="129"/>
        <v>6</v>
      </c>
      <c r="X1375">
        <f t="shared" si="130"/>
        <v>-72.126999999999953</v>
      </c>
      <c r="Y1375">
        <f t="shared" si="131"/>
        <v>0</v>
      </c>
    </row>
    <row r="1376" spans="1:25" x14ac:dyDescent="0.35">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c r="T1376">
        <f t="shared" si="126"/>
        <v>1588.08</v>
      </c>
      <c r="U1376">
        <f t="shared" si="127"/>
        <v>0</v>
      </c>
      <c r="V1376">
        <f t="shared" si="128"/>
        <v>1588.08</v>
      </c>
      <c r="W1376">
        <f t="shared" si="129"/>
        <v>8</v>
      </c>
      <c r="X1376">
        <f t="shared" si="130"/>
        <v>0</v>
      </c>
      <c r="Y1376">
        <f t="shared" si="131"/>
        <v>0</v>
      </c>
    </row>
    <row r="1377" spans="1:25" x14ac:dyDescent="0.35">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c r="T1377">
        <f t="shared" si="126"/>
        <v>1693.5</v>
      </c>
      <c r="U1377">
        <f t="shared" si="127"/>
        <v>84.675000000000011</v>
      </c>
      <c r="V1377">
        <f t="shared" si="128"/>
        <v>1608.825</v>
      </c>
      <c r="W1377">
        <f t="shared" si="129"/>
        <v>3</v>
      </c>
      <c r="X1377">
        <f t="shared" si="130"/>
        <v>-84.674999999999955</v>
      </c>
      <c r="Y1377">
        <f t="shared" si="131"/>
        <v>0</v>
      </c>
    </row>
    <row r="1378" spans="1:25" x14ac:dyDescent="0.35">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c r="T1378">
        <f t="shared" si="126"/>
        <v>3063.96</v>
      </c>
      <c r="U1378">
        <f t="shared" si="127"/>
        <v>153.19800000000001</v>
      </c>
      <c r="V1378">
        <f t="shared" si="128"/>
        <v>2910.7620000000002</v>
      </c>
      <c r="W1378">
        <f t="shared" si="129"/>
        <v>10</v>
      </c>
      <c r="X1378">
        <f t="shared" si="130"/>
        <v>-153.19799999999987</v>
      </c>
      <c r="Y1378">
        <f t="shared" si="131"/>
        <v>0</v>
      </c>
    </row>
    <row r="1379" spans="1:25" x14ac:dyDescent="0.35">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c r="T1379">
        <f t="shared" si="126"/>
        <v>120.2</v>
      </c>
      <c r="U1379">
        <f t="shared" si="127"/>
        <v>6.0100000000000007</v>
      </c>
      <c r="V1379">
        <f t="shared" si="128"/>
        <v>114.19</v>
      </c>
      <c r="W1379">
        <f t="shared" si="129"/>
        <v>3</v>
      </c>
      <c r="X1379">
        <f t="shared" si="130"/>
        <v>-6.0100000000000051</v>
      </c>
      <c r="Y1379">
        <f t="shared" si="131"/>
        <v>0</v>
      </c>
    </row>
    <row r="1380" spans="1:25" x14ac:dyDescent="0.35">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c r="T1380">
        <f t="shared" si="126"/>
        <v>2202.0699999999997</v>
      </c>
      <c r="U1380">
        <f t="shared" si="127"/>
        <v>330.31049999999993</v>
      </c>
      <c r="V1380">
        <f t="shared" si="128"/>
        <v>1871.7594999999997</v>
      </c>
      <c r="W1380">
        <f t="shared" si="129"/>
        <v>10</v>
      </c>
      <c r="X1380">
        <f t="shared" si="130"/>
        <v>-330.31050000000005</v>
      </c>
      <c r="Y1380">
        <f t="shared" si="131"/>
        <v>0</v>
      </c>
    </row>
    <row r="1381" spans="1:25" x14ac:dyDescent="0.35">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c r="T1381">
        <f t="shared" si="126"/>
        <v>1707.2</v>
      </c>
      <c r="U1381">
        <f t="shared" si="127"/>
        <v>85.360000000000014</v>
      </c>
      <c r="V1381">
        <f t="shared" si="128"/>
        <v>1621.8400000000001</v>
      </c>
      <c r="W1381">
        <f t="shared" si="129"/>
        <v>10</v>
      </c>
      <c r="X1381">
        <f t="shared" si="130"/>
        <v>-85.3599999999999</v>
      </c>
      <c r="Y1381">
        <f t="shared" si="131"/>
        <v>0</v>
      </c>
    </row>
    <row r="1382" spans="1:25" x14ac:dyDescent="0.35">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c r="T1382">
        <f t="shared" si="126"/>
        <v>2913.93</v>
      </c>
      <c r="U1382">
        <f t="shared" si="127"/>
        <v>437.08949999999999</v>
      </c>
      <c r="V1382">
        <f t="shared" si="128"/>
        <v>2476.8404999999998</v>
      </c>
      <c r="W1382">
        <f t="shared" si="129"/>
        <v>8</v>
      </c>
      <c r="X1382">
        <f t="shared" si="130"/>
        <v>-437.08950000000004</v>
      </c>
      <c r="Y1382">
        <f t="shared" si="131"/>
        <v>0</v>
      </c>
    </row>
    <row r="1383" spans="1:25" x14ac:dyDescent="0.35">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c r="T1383">
        <f t="shared" si="126"/>
        <v>1927.44</v>
      </c>
      <c r="U1383">
        <f t="shared" si="127"/>
        <v>0</v>
      </c>
      <c r="V1383">
        <f t="shared" si="128"/>
        <v>1927.44</v>
      </c>
      <c r="W1383">
        <f t="shared" si="129"/>
        <v>5</v>
      </c>
      <c r="X1383">
        <f t="shared" si="130"/>
        <v>0</v>
      </c>
      <c r="Y1383">
        <f t="shared" si="131"/>
        <v>0</v>
      </c>
    </row>
    <row r="1384" spans="1:25" x14ac:dyDescent="0.35">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c r="T1384">
        <f t="shared" si="126"/>
        <v>312.2</v>
      </c>
      <c r="U1384">
        <f t="shared" si="127"/>
        <v>0</v>
      </c>
      <c r="V1384">
        <f t="shared" si="128"/>
        <v>312.2</v>
      </c>
      <c r="W1384">
        <f t="shared" si="129"/>
        <v>8</v>
      </c>
      <c r="X1384">
        <f t="shared" si="130"/>
        <v>0</v>
      </c>
      <c r="Y1384">
        <f t="shared" si="131"/>
        <v>0</v>
      </c>
    </row>
    <row r="1385" spans="1:25" x14ac:dyDescent="0.35">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c r="T1385">
        <f t="shared" si="126"/>
        <v>344.4</v>
      </c>
      <c r="U1385">
        <f t="shared" si="127"/>
        <v>34.44</v>
      </c>
      <c r="V1385">
        <f t="shared" si="128"/>
        <v>309.95999999999998</v>
      </c>
      <c r="W1385">
        <f t="shared" si="129"/>
        <v>10</v>
      </c>
      <c r="X1385">
        <f t="shared" si="130"/>
        <v>-34.44</v>
      </c>
      <c r="Y1385">
        <f t="shared" si="131"/>
        <v>0</v>
      </c>
    </row>
    <row r="1386" spans="1:25" x14ac:dyDescent="0.35">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c r="T1386">
        <f t="shared" si="126"/>
        <v>4094.82</v>
      </c>
      <c r="U1386">
        <f t="shared" si="127"/>
        <v>614.22299999999996</v>
      </c>
      <c r="V1386">
        <f t="shared" si="128"/>
        <v>3480.5970000000002</v>
      </c>
      <c r="W1386">
        <f t="shared" si="129"/>
        <v>2</v>
      </c>
      <c r="X1386">
        <f t="shared" si="130"/>
        <v>-614.22299999999996</v>
      </c>
      <c r="Y1386">
        <f t="shared" si="131"/>
        <v>0</v>
      </c>
    </row>
    <row r="1387" spans="1:25" x14ac:dyDescent="0.35">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c r="T1387">
        <f t="shared" si="126"/>
        <v>4023.25</v>
      </c>
      <c r="U1387">
        <f t="shared" si="127"/>
        <v>201.16250000000002</v>
      </c>
      <c r="V1387">
        <f t="shared" si="128"/>
        <v>3822.0875000000001</v>
      </c>
      <c r="W1387">
        <f t="shared" si="129"/>
        <v>5</v>
      </c>
      <c r="X1387">
        <f t="shared" si="130"/>
        <v>-201.16249999999991</v>
      </c>
      <c r="Y1387">
        <f t="shared" si="131"/>
        <v>0</v>
      </c>
    </row>
    <row r="1388" spans="1:25" x14ac:dyDescent="0.35">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c r="T1388">
        <f t="shared" si="126"/>
        <v>748.16</v>
      </c>
      <c r="U1388">
        <f t="shared" si="127"/>
        <v>37.408000000000001</v>
      </c>
      <c r="V1388">
        <f t="shared" si="128"/>
        <v>710.75199999999995</v>
      </c>
      <c r="W1388">
        <f t="shared" si="129"/>
        <v>7</v>
      </c>
      <c r="X1388">
        <f t="shared" si="130"/>
        <v>-37.408000000000015</v>
      </c>
      <c r="Y1388">
        <f t="shared" si="131"/>
        <v>0</v>
      </c>
    </row>
    <row r="1389" spans="1:25" x14ac:dyDescent="0.35">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c r="T1389">
        <f t="shared" si="126"/>
        <v>501.96</v>
      </c>
      <c r="U1389">
        <f t="shared" si="127"/>
        <v>50.195999999999998</v>
      </c>
      <c r="V1389">
        <f t="shared" si="128"/>
        <v>451.76400000000001</v>
      </c>
      <c r="W1389">
        <f t="shared" si="129"/>
        <v>10</v>
      </c>
      <c r="X1389">
        <f t="shared" si="130"/>
        <v>-50.19599999999997</v>
      </c>
      <c r="Y1389">
        <f t="shared" si="131"/>
        <v>0</v>
      </c>
    </row>
    <row r="1390" spans="1:25" x14ac:dyDescent="0.35">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c r="T1390">
        <f t="shared" si="126"/>
        <v>4730.32</v>
      </c>
      <c r="U1390">
        <f t="shared" si="127"/>
        <v>473.03199999999998</v>
      </c>
      <c r="V1390">
        <f t="shared" si="128"/>
        <v>4257.2879999999996</v>
      </c>
      <c r="W1390">
        <f t="shared" si="129"/>
        <v>10</v>
      </c>
      <c r="X1390">
        <f t="shared" si="130"/>
        <v>-473.03200000000015</v>
      </c>
      <c r="Y1390">
        <f t="shared" si="131"/>
        <v>0</v>
      </c>
    </row>
    <row r="1391" spans="1:25" x14ac:dyDescent="0.35">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c r="T1391">
        <f t="shared" si="126"/>
        <v>6656.22</v>
      </c>
      <c r="U1391">
        <f t="shared" si="127"/>
        <v>332.81100000000004</v>
      </c>
      <c r="V1391">
        <f t="shared" si="128"/>
        <v>6323.4090000000006</v>
      </c>
      <c r="W1391">
        <f t="shared" si="129"/>
        <v>4</v>
      </c>
      <c r="X1391">
        <f t="shared" si="130"/>
        <v>-332.81099999999969</v>
      </c>
      <c r="Y1391">
        <f t="shared" si="131"/>
        <v>0</v>
      </c>
    </row>
    <row r="1392" spans="1:25" x14ac:dyDescent="0.35">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c r="T1392">
        <f t="shared" si="126"/>
        <v>2493.6000000000004</v>
      </c>
      <c r="U1392">
        <f t="shared" si="127"/>
        <v>249.36000000000004</v>
      </c>
      <c r="V1392">
        <f t="shared" si="128"/>
        <v>2244.2400000000002</v>
      </c>
      <c r="W1392">
        <f t="shared" si="129"/>
        <v>3</v>
      </c>
      <c r="X1392">
        <f t="shared" si="130"/>
        <v>-249.36000000000013</v>
      </c>
      <c r="Y1392">
        <f t="shared" si="131"/>
        <v>0</v>
      </c>
    </row>
    <row r="1393" spans="1:25" x14ac:dyDescent="0.35">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c r="T1393">
        <f t="shared" si="126"/>
        <v>3129.12</v>
      </c>
      <c r="U1393">
        <f t="shared" si="127"/>
        <v>469.36799999999994</v>
      </c>
      <c r="V1393">
        <f t="shared" si="128"/>
        <v>2659.752</v>
      </c>
      <c r="W1393">
        <f t="shared" si="129"/>
        <v>9</v>
      </c>
      <c r="X1393">
        <f t="shared" si="130"/>
        <v>-469.36799999999994</v>
      </c>
      <c r="Y1393">
        <f t="shared" si="131"/>
        <v>0</v>
      </c>
    </row>
    <row r="1394" spans="1:25" x14ac:dyDescent="0.35">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c r="T1394">
        <f t="shared" si="126"/>
        <v>3486.3</v>
      </c>
      <c r="U1394">
        <f t="shared" si="127"/>
        <v>174.31500000000003</v>
      </c>
      <c r="V1394">
        <f t="shared" si="128"/>
        <v>3311.9850000000001</v>
      </c>
      <c r="W1394">
        <f t="shared" si="129"/>
        <v>2</v>
      </c>
      <c r="X1394">
        <f t="shared" si="130"/>
        <v>-174.31500000000005</v>
      </c>
      <c r="Y1394">
        <f t="shared" si="131"/>
        <v>0</v>
      </c>
    </row>
    <row r="1395" spans="1:25" x14ac:dyDescent="0.35">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c r="T1395">
        <f t="shared" si="126"/>
        <v>2366.3999999999996</v>
      </c>
      <c r="U1395">
        <f t="shared" si="127"/>
        <v>0</v>
      </c>
      <c r="V1395">
        <f t="shared" si="128"/>
        <v>2366.3999999999996</v>
      </c>
      <c r="W1395">
        <f t="shared" si="129"/>
        <v>10</v>
      </c>
      <c r="X1395">
        <f t="shared" si="130"/>
        <v>0</v>
      </c>
      <c r="Y1395">
        <f t="shared" si="131"/>
        <v>0</v>
      </c>
    </row>
    <row r="1396" spans="1:25" x14ac:dyDescent="0.35">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c r="T1396">
        <f t="shared" si="126"/>
        <v>6429.28</v>
      </c>
      <c r="U1396">
        <f t="shared" si="127"/>
        <v>0</v>
      </c>
      <c r="V1396">
        <f t="shared" si="128"/>
        <v>6429.28</v>
      </c>
      <c r="W1396">
        <f t="shared" si="129"/>
        <v>4</v>
      </c>
      <c r="X1396">
        <f t="shared" si="130"/>
        <v>0</v>
      </c>
      <c r="Y1396">
        <f t="shared" si="131"/>
        <v>0</v>
      </c>
    </row>
    <row r="1397" spans="1:25" x14ac:dyDescent="0.35">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c r="T1397">
        <f t="shared" si="126"/>
        <v>2692.9</v>
      </c>
      <c r="U1397">
        <f t="shared" si="127"/>
        <v>0</v>
      </c>
      <c r="V1397">
        <f t="shared" si="128"/>
        <v>2692.9</v>
      </c>
      <c r="W1397">
        <f t="shared" si="129"/>
        <v>9</v>
      </c>
      <c r="X1397">
        <f t="shared" si="130"/>
        <v>0</v>
      </c>
      <c r="Y1397">
        <f t="shared" si="131"/>
        <v>0</v>
      </c>
    </row>
    <row r="1398" spans="1:25" x14ac:dyDescent="0.35">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c r="T1398">
        <f t="shared" si="126"/>
        <v>1292.08</v>
      </c>
      <c r="U1398">
        <f t="shared" si="127"/>
        <v>64.603999999999999</v>
      </c>
      <c r="V1398">
        <f t="shared" si="128"/>
        <v>1227.4759999999999</v>
      </c>
      <c r="W1398">
        <f t="shared" si="129"/>
        <v>5</v>
      </c>
      <c r="X1398">
        <f t="shared" si="130"/>
        <v>-64.604000000000042</v>
      </c>
      <c r="Y1398">
        <f t="shared" si="131"/>
        <v>0</v>
      </c>
    </row>
    <row r="1399" spans="1:25" x14ac:dyDescent="0.35">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c r="T1399">
        <f t="shared" si="126"/>
        <v>6598.3499999999995</v>
      </c>
      <c r="U1399">
        <f t="shared" si="127"/>
        <v>989.75249999999983</v>
      </c>
      <c r="V1399">
        <f t="shared" si="128"/>
        <v>5608.5974999999999</v>
      </c>
      <c r="W1399">
        <f t="shared" si="129"/>
        <v>4</v>
      </c>
      <c r="X1399">
        <f t="shared" si="130"/>
        <v>-989.7524999999996</v>
      </c>
      <c r="Y1399">
        <f t="shared" si="131"/>
        <v>0</v>
      </c>
    </row>
    <row r="1400" spans="1:25" x14ac:dyDescent="0.35">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c r="T1400">
        <f t="shared" si="126"/>
        <v>7729.44</v>
      </c>
      <c r="U1400">
        <f t="shared" si="127"/>
        <v>386.47199999999998</v>
      </c>
      <c r="V1400">
        <f t="shared" si="128"/>
        <v>7342.9679999999998</v>
      </c>
      <c r="W1400">
        <f t="shared" si="129"/>
        <v>3</v>
      </c>
      <c r="X1400">
        <f t="shared" si="130"/>
        <v>-386.47199999999975</v>
      </c>
      <c r="Y1400">
        <f t="shared" si="131"/>
        <v>0</v>
      </c>
    </row>
    <row r="1401" spans="1:25" x14ac:dyDescent="0.35">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c r="T1401">
        <f t="shared" si="126"/>
        <v>356.07</v>
      </c>
      <c r="U1401">
        <f t="shared" si="127"/>
        <v>53.410499999999999</v>
      </c>
      <c r="V1401">
        <f t="shared" si="128"/>
        <v>302.65949999999998</v>
      </c>
      <c r="W1401">
        <f t="shared" si="129"/>
        <v>5</v>
      </c>
      <c r="X1401">
        <f t="shared" si="130"/>
        <v>-53.410500000000013</v>
      </c>
      <c r="Y1401">
        <f t="shared" si="131"/>
        <v>0</v>
      </c>
    </row>
    <row r="1402" spans="1:25" x14ac:dyDescent="0.35">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c r="T1402">
        <f t="shared" si="126"/>
        <v>7785.36</v>
      </c>
      <c r="U1402">
        <f t="shared" si="127"/>
        <v>389.26800000000003</v>
      </c>
      <c r="V1402">
        <f t="shared" si="128"/>
        <v>7396.0919999999996</v>
      </c>
      <c r="W1402">
        <f t="shared" si="129"/>
        <v>5</v>
      </c>
      <c r="X1402">
        <f t="shared" si="130"/>
        <v>-389.26800000000003</v>
      </c>
      <c r="Y1402">
        <f t="shared" si="131"/>
        <v>0</v>
      </c>
    </row>
    <row r="1403" spans="1:25" x14ac:dyDescent="0.35">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c r="T1403">
        <f t="shared" si="126"/>
        <v>1082.79</v>
      </c>
      <c r="U1403">
        <f t="shared" si="127"/>
        <v>162.41849999999999</v>
      </c>
      <c r="V1403">
        <f t="shared" si="128"/>
        <v>920.37149999999997</v>
      </c>
      <c r="W1403">
        <f t="shared" si="129"/>
        <v>6</v>
      </c>
      <c r="X1403">
        <f t="shared" si="130"/>
        <v>-162.41849999999999</v>
      </c>
      <c r="Y1403">
        <f t="shared" si="131"/>
        <v>0</v>
      </c>
    </row>
    <row r="1404" spans="1:25" x14ac:dyDescent="0.35">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c r="T1404">
        <f t="shared" si="126"/>
        <v>2072.9</v>
      </c>
      <c r="U1404">
        <f t="shared" si="127"/>
        <v>207.29000000000002</v>
      </c>
      <c r="V1404">
        <f t="shared" si="128"/>
        <v>1865.6100000000001</v>
      </c>
      <c r="W1404">
        <f t="shared" si="129"/>
        <v>9</v>
      </c>
      <c r="X1404">
        <f t="shared" si="130"/>
        <v>-207.28999999999996</v>
      </c>
      <c r="Y1404">
        <f t="shared" si="131"/>
        <v>0</v>
      </c>
    </row>
    <row r="1405" spans="1:25" x14ac:dyDescent="0.35">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c r="T1405">
        <f t="shared" si="126"/>
        <v>272.16000000000003</v>
      </c>
      <c r="U1405">
        <f t="shared" si="127"/>
        <v>0</v>
      </c>
      <c r="V1405">
        <f t="shared" si="128"/>
        <v>272.16000000000003</v>
      </c>
      <c r="W1405">
        <f t="shared" si="129"/>
        <v>9</v>
      </c>
      <c r="X1405">
        <f t="shared" si="130"/>
        <v>0</v>
      </c>
      <c r="Y1405">
        <f t="shared" si="131"/>
        <v>0</v>
      </c>
    </row>
    <row r="1406" spans="1:25" x14ac:dyDescent="0.35">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c r="T1406">
        <f t="shared" si="126"/>
        <v>4079.9</v>
      </c>
      <c r="U1406">
        <f t="shared" si="127"/>
        <v>611.98500000000001</v>
      </c>
      <c r="V1406">
        <f t="shared" si="128"/>
        <v>3467.915</v>
      </c>
      <c r="W1406">
        <f t="shared" si="129"/>
        <v>5</v>
      </c>
      <c r="X1406">
        <f t="shared" si="130"/>
        <v>-611.98500000000013</v>
      </c>
      <c r="Y1406">
        <f t="shared" si="131"/>
        <v>0</v>
      </c>
    </row>
    <row r="1407" spans="1:25" x14ac:dyDescent="0.35">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c r="T1407">
        <f t="shared" si="126"/>
        <v>4121.5499999999993</v>
      </c>
      <c r="U1407">
        <f t="shared" si="127"/>
        <v>0</v>
      </c>
      <c r="V1407">
        <f t="shared" si="128"/>
        <v>4121.5499999999993</v>
      </c>
      <c r="W1407">
        <f t="shared" si="129"/>
        <v>6</v>
      </c>
      <c r="X1407">
        <f t="shared" si="130"/>
        <v>0</v>
      </c>
      <c r="Y1407">
        <f t="shared" si="131"/>
        <v>0</v>
      </c>
    </row>
    <row r="1408" spans="1:25" x14ac:dyDescent="0.35">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c r="T1408">
        <f t="shared" si="126"/>
        <v>477.15</v>
      </c>
      <c r="U1408">
        <f t="shared" si="127"/>
        <v>71.572499999999991</v>
      </c>
      <c r="V1408">
        <f t="shared" si="128"/>
        <v>405.57749999999999</v>
      </c>
      <c r="W1408">
        <f t="shared" si="129"/>
        <v>2</v>
      </c>
      <c r="X1408">
        <f t="shared" si="130"/>
        <v>-71.572499999999991</v>
      </c>
      <c r="Y1408">
        <f t="shared" si="131"/>
        <v>0</v>
      </c>
    </row>
    <row r="1409" spans="1:25" x14ac:dyDescent="0.35">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c r="T1409">
        <f t="shared" si="126"/>
        <v>3756.48</v>
      </c>
      <c r="U1409">
        <f t="shared" si="127"/>
        <v>0</v>
      </c>
      <c r="V1409">
        <f t="shared" si="128"/>
        <v>3756.48</v>
      </c>
      <c r="W1409">
        <f t="shared" si="129"/>
        <v>9</v>
      </c>
      <c r="X1409">
        <f t="shared" si="130"/>
        <v>0</v>
      </c>
      <c r="Y1409">
        <f t="shared" si="131"/>
        <v>0</v>
      </c>
    </row>
    <row r="1410" spans="1:25" x14ac:dyDescent="0.35">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c r="T1410">
        <f t="shared" si="126"/>
        <v>6652.28</v>
      </c>
      <c r="U1410">
        <f t="shared" si="127"/>
        <v>332.61400000000003</v>
      </c>
      <c r="V1410">
        <f t="shared" si="128"/>
        <v>6319.6659999999993</v>
      </c>
      <c r="W1410">
        <f t="shared" si="129"/>
        <v>8</v>
      </c>
      <c r="X1410">
        <f t="shared" si="130"/>
        <v>-332.61400000000049</v>
      </c>
      <c r="Y1410">
        <f t="shared" si="131"/>
        <v>0</v>
      </c>
    </row>
    <row r="1411" spans="1:25" x14ac:dyDescent="0.35">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c r="T1411">
        <f t="shared" ref="T1411:T1474" si="132">D1411*E1411</f>
        <v>2962.35</v>
      </c>
      <c r="U1411">
        <f t="shared" ref="U1411:U1474" si="133">T1411*H1411</f>
        <v>148.11750000000001</v>
      </c>
      <c r="V1411">
        <f t="shared" ref="V1411:V1474" si="134">T1411-U1411</f>
        <v>2814.2325000000001</v>
      </c>
      <c r="W1411">
        <f t="shared" ref="W1411:W1474" si="135">R1411-Q1411</f>
        <v>2</v>
      </c>
      <c r="X1411">
        <f t="shared" ref="X1411:X1474" si="136">V1411-(E1411*D1411)</f>
        <v>-148.11749999999984</v>
      </c>
      <c r="Y1411">
        <f t="shared" ref="Y1411:Y1474" si="137">IF(M1411 = "Yes", -V1411,0)</f>
        <v>0</v>
      </c>
    </row>
    <row r="1412" spans="1:25" x14ac:dyDescent="0.35">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c r="T1412">
        <f t="shared" si="132"/>
        <v>577.07000000000005</v>
      </c>
      <c r="U1412">
        <f t="shared" si="133"/>
        <v>28.853500000000004</v>
      </c>
      <c r="V1412">
        <f t="shared" si="134"/>
        <v>548.2165</v>
      </c>
      <c r="W1412">
        <f t="shared" si="135"/>
        <v>8</v>
      </c>
      <c r="X1412">
        <f t="shared" si="136"/>
        <v>-28.853500000000054</v>
      </c>
      <c r="Y1412">
        <f t="shared" si="137"/>
        <v>0</v>
      </c>
    </row>
    <row r="1413" spans="1:25" x14ac:dyDescent="0.35">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c r="T1413">
        <f t="shared" si="132"/>
        <v>3265.9800000000005</v>
      </c>
      <c r="U1413">
        <f t="shared" si="133"/>
        <v>326.59800000000007</v>
      </c>
      <c r="V1413">
        <f t="shared" si="134"/>
        <v>2939.3820000000005</v>
      </c>
      <c r="W1413">
        <f t="shared" si="135"/>
        <v>2</v>
      </c>
      <c r="X1413">
        <f t="shared" si="136"/>
        <v>-326.59799999999996</v>
      </c>
      <c r="Y1413">
        <f t="shared" si="137"/>
        <v>0</v>
      </c>
    </row>
    <row r="1414" spans="1:25" x14ac:dyDescent="0.35">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c r="T1414">
        <f t="shared" si="132"/>
        <v>5966.0999999999995</v>
      </c>
      <c r="U1414">
        <f t="shared" si="133"/>
        <v>894.91499999999985</v>
      </c>
      <c r="V1414">
        <f t="shared" si="134"/>
        <v>5071.1849999999995</v>
      </c>
      <c r="W1414">
        <f t="shared" si="135"/>
        <v>5</v>
      </c>
      <c r="X1414">
        <f t="shared" si="136"/>
        <v>-894.91499999999996</v>
      </c>
      <c r="Y1414">
        <f t="shared" si="137"/>
        <v>0</v>
      </c>
    </row>
    <row r="1415" spans="1:25" x14ac:dyDescent="0.35">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c r="T1415">
        <f t="shared" si="132"/>
        <v>421.26</v>
      </c>
      <c r="U1415">
        <f t="shared" si="133"/>
        <v>42.126000000000005</v>
      </c>
      <c r="V1415">
        <f t="shared" si="134"/>
        <v>379.13400000000001</v>
      </c>
      <c r="W1415">
        <f t="shared" si="135"/>
        <v>8</v>
      </c>
      <c r="X1415">
        <f t="shared" si="136"/>
        <v>-42.125999999999976</v>
      </c>
      <c r="Y1415">
        <f t="shared" si="137"/>
        <v>0</v>
      </c>
    </row>
    <row r="1416" spans="1:25" x14ac:dyDescent="0.35">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c r="T1416">
        <f t="shared" si="132"/>
        <v>2220.08</v>
      </c>
      <c r="U1416">
        <f t="shared" si="133"/>
        <v>222.00800000000001</v>
      </c>
      <c r="V1416">
        <f t="shared" si="134"/>
        <v>1998.0719999999999</v>
      </c>
      <c r="W1416">
        <f t="shared" si="135"/>
        <v>5</v>
      </c>
      <c r="X1416">
        <f t="shared" si="136"/>
        <v>-222.00800000000004</v>
      </c>
      <c r="Y1416">
        <f t="shared" si="137"/>
        <v>0</v>
      </c>
    </row>
    <row r="1417" spans="1:25" x14ac:dyDescent="0.35">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c r="T1417">
        <f t="shared" si="132"/>
        <v>4826.57</v>
      </c>
      <c r="U1417">
        <f t="shared" si="133"/>
        <v>0</v>
      </c>
      <c r="V1417">
        <f t="shared" si="134"/>
        <v>4826.57</v>
      </c>
      <c r="W1417">
        <f t="shared" si="135"/>
        <v>8</v>
      </c>
      <c r="X1417">
        <f t="shared" si="136"/>
        <v>0</v>
      </c>
      <c r="Y1417">
        <f t="shared" si="137"/>
        <v>0</v>
      </c>
    </row>
    <row r="1418" spans="1:25" x14ac:dyDescent="0.35">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c r="T1418">
        <f t="shared" si="132"/>
        <v>4805.37</v>
      </c>
      <c r="U1418">
        <f t="shared" si="133"/>
        <v>720.80549999999994</v>
      </c>
      <c r="V1418">
        <f t="shared" si="134"/>
        <v>4084.5645</v>
      </c>
      <c r="W1418">
        <f t="shared" si="135"/>
        <v>4</v>
      </c>
      <c r="X1418">
        <f t="shared" si="136"/>
        <v>-720.80549999999994</v>
      </c>
      <c r="Y1418">
        <f t="shared" si="137"/>
        <v>0</v>
      </c>
    </row>
    <row r="1419" spans="1:25" x14ac:dyDescent="0.35">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c r="T1419">
        <f t="shared" si="132"/>
        <v>1689.45</v>
      </c>
      <c r="U1419">
        <f t="shared" si="133"/>
        <v>168.94500000000002</v>
      </c>
      <c r="V1419">
        <f t="shared" si="134"/>
        <v>1520.5050000000001</v>
      </c>
      <c r="W1419">
        <f t="shared" si="135"/>
        <v>9</v>
      </c>
      <c r="X1419">
        <f t="shared" si="136"/>
        <v>-168.94499999999994</v>
      </c>
      <c r="Y1419">
        <f t="shared" si="137"/>
        <v>0</v>
      </c>
    </row>
    <row r="1420" spans="1:25" x14ac:dyDescent="0.35">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c r="T1420">
        <f t="shared" si="132"/>
        <v>1764.0700000000002</v>
      </c>
      <c r="U1420">
        <f t="shared" si="133"/>
        <v>88.20350000000002</v>
      </c>
      <c r="V1420">
        <f t="shared" si="134"/>
        <v>1675.8665000000001</v>
      </c>
      <c r="W1420">
        <f t="shared" si="135"/>
        <v>10</v>
      </c>
      <c r="X1420">
        <f t="shared" si="136"/>
        <v>-88.203500000000076</v>
      </c>
      <c r="Y1420">
        <f t="shared" si="137"/>
        <v>0</v>
      </c>
    </row>
    <row r="1421" spans="1:25" x14ac:dyDescent="0.35">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c r="T1421">
        <f t="shared" si="132"/>
        <v>419.1</v>
      </c>
      <c r="U1421">
        <f t="shared" si="133"/>
        <v>41.910000000000004</v>
      </c>
      <c r="V1421">
        <f t="shared" si="134"/>
        <v>377.19</v>
      </c>
      <c r="W1421">
        <f t="shared" si="135"/>
        <v>7</v>
      </c>
      <c r="X1421">
        <f t="shared" si="136"/>
        <v>-41.910000000000025</v>
      </c>
      <c r="Y1421">
        <f t="shared" si="137"/>
        <v>0</v>
      </c>
    </row>
    <row r="1422" spans="1:25" x14ac:dyDescent="0.35">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c r="T1422">
        <f t="shared" si="132"/>
        <v>1803.36</v>
      </c>
      <c r="U1422">
        <f t="shared" si="133"/>
        <v>270.50399999999996</v>
      </c>
      <c r="V1422">
        <f t="shared" si="134"/>
        <v>1532.856</v>
      </c>
      <c r="W1422">
        <f t="shared" si="135"/>
        <v>2</v>
      </c>
      <c r="X1422">
        <f t="shared" si="136"/>
        <v>-270.50399999999991</v>
      </c>
      <c r="Y1422">
        <f t="shared" si="137"/>
        <v>0</v>
      </c>
    </row>
    <row r="1423" spans="1:25" x14ac:dyDescent="0.35">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c r="T1423">
        <f t="shared" si="132"/>
        <v>3688.32</v>
      </c>
      <c r="U1423">
        <f t="shared" si="133"/>
        <v>0</v>
      </c>
      <c r="V1423">
        <f t="shared" si="134"/>
        <v>3688.32</v>
      </c>
      <c r="W1423">
        <f t="shared" si="135"/>
        <v>2</v>
      </c>
      <c r="X1423">
        <f t="shared" si="136"/>
        <v>0</v>
      </c>
      <c r="Y1423">
        <f t="shared" si="137"/>
        <v>0</v>
      </c>
    </row>
    <row r="1424" spans="1:25" x14ac:dyDescent="0.35">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c r="T1424">
        <f t="shared" si="132"/>
        <v>3145.1400000000003</v>
      </c>
      <c r="U1424">
        <f t="shared" si="133"/>
        <v>471.77100000000002</v>
      </c>
      <c r="V1424">
        <f t="shared" si="134"/>
        <v>2673.3690000000001</v>
      </c>
      <c r="W1424">
        <f t="shared" si="135"/>
        <v>4</v>
      </c>
      <c r="X1424">
        <f t="shared" si="136"/>
        <v>-471.77100000000019</v>
      </c>
      <c r="Y1424">
        <f t="shared" si="137"/>
        <v>0</v>
      </c>
    </row>
    <row r="1425" spans="1:25" x14ac:dyDescent="0.35">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c r="T1425">
        <f t="shared" si="132"/>
        <v>4883.3599999999997</v>
      </c>
      <c r="U1425">
        <f t="shared" si="133"/>
        <v>488.33600000000001</v>
      </c>
      <c r="V1425">
        <f t="shared" si="134"/>
        <v>4395.0239999999994</v>
      </c>
      <c r="W1425">
        <f t="shared" si="135"/>
        <v>8</v>
      </c>
      <c r="X1425">
        <f t="shared" si="136"/>
        <v>-488.33600000000024</v>
      </c>
      <c r="Y1425">
        <f t="shared" si="137"/>
        <v>0</v>
      </c>
    </row>
    <row r="1426" spans="1:25" x14ac:dyDescent="0.35">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c r="T1426">
        <f t="shared" si="132"/>
        <v>7019.36</v>
      </c>
      <c r="U1426">
        <f t="shared" si="133"/>
        <v>0</v>
      </c>
      <c r="V1426">
        <f t="shared" si="134"/>
        <v>7019.36</v>
      </c>
      <c r="W1426">
        <f t="shared" si="135"/>
        <v>10</v>
      </c>
      <c r="X1426">
        <f t="shared" si="136"/>
        <v>0</v>
      </c>
      <c r="Y1426">
        <f t="shared" si="137"/>
        <v>0</v>
      </c>
    </row>
    <row r="1427" spans="1:25" x14ac:dyDescent="0.35">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c r="T1427">
        <f t="shared" si="132"/>
        <v>1939.6000000000001</v>
      </c>
      <c r="U1427">
        <f t="shared" si="133"/>
        <v>193.96000000000004</v>
      </c>
      <c r="V1427">
        <f t="shared" si="134"/>
        <v>1745.64</v>
      </c>
      <c r="W1427">
        <f t="shared" si="135"/>
        <v>5</v>
      </c>
      <c r="X1427">
        <f t="shared" si="136"/>
        <v>-193.96000000000004</v>
      </c>
      <c r="Y1427">
        <f t="shared" si="137"/>
        <v>0</v>
      </c>
    </row>
    <row r="1428" spans="1:25" x14ac:dyDescent="0.35">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c r="T1428">
        <f t="shared" si="132"/>
        <v>10447.56</v>
      </c>
      <c r="U1428">
        <f t="shared" si="133"/>
        <v>522.37800000000004</v>
      </c>
      <c r="V1428">
        <f t="shared" si="134"/>
        <v>9925.1819999999989</v>
      </c>
      <c r="W1428">
        <f t="shared" si="135"/>
        <v>7</v>
      </c>
      <c r="X1428">
        <f t="shared" si="136"/>
        <v>-522.37800000000061</v>
      </c>
      <c r="Y1428">
        <f t="shared" si="137"/>
        <v>0</v>
      </c>
    </row>
    <row r="1429" spans="1:25" x14ac:dyDescent="0.35">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c r="T1429">
        <f t="shared" si="132"/>
        <v>1647.8999999999999</v>
      </c>
      <c r="U1429">
        <f t="shared" si="133"/>
        <v>164.79</v>
      </c>
      <c r="V1429">
        <f t="shared" si="134"/>
        <v>1483.11</v>
      </c>
      <c r="W1429">
        <f t="shared" si="135"/>
        <v>7</v>
      </c>
      <c r="X1429">
        <f t="shared" si="136"/>
        <v>-164.78999999999996</v>
      </c>
      <c r="Y1429">
        <f t="shared" si="137"/>
        <v>0</v>
      </c>
    </row>
    <row r="1430" spans="1:25" x14ac:dyDescent="0.35">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c r="T1430">
        <f t="shared" si="132"/>
        <v>1479.14</v>
      </c>
      <c r="U1430">
        <f t="shared" si="133"/>
        <v>147.91400000000002</v>
      </c>
      <c r="V1430">
        <f t="shared" si="134"/>
        <v>1331.2260000000001</v>
      </c>
      <c r="W1430">
        <f t="shared" si="135"/>
        <v>9</v>
      </c>
      <c r="X1430">
        <f t="shared" si="136"/>
        <v>-147.91399999999999</v>
      </c>
      <c r="Y1430">
        <f t="shared" si="137"/>
        <v>0</v>
      </c>
    </row>
    <row r="1431" spans="1:25" x14ac:dyDescent="0.35">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c r="T1431">
        <f t="shared" si="132"/>
        <v>7646.56</v>
      </c>
      <c r="U1431">
        <f t="shared" si="133"/>
        <v>0</v>
      </c>
      <c r="V1431">
        <f t="shared" si="134"/>
        <v>7646.56</v>
      </c>
      <c r="W1431">
        <f t="shared" si="135"/>
        <v>5</v>
      </c>
      <c r="X1431">
        <f t="shared" si="136"/>
        <v>0</v>
      </c>
      <c r="Y1431">
        <f t="shared" si="137"/>
        <v>0</v>
      </c>
    </row>
    <row r="1432" spans="1:25" x14ac:dyDescent="0.35">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c r="T1432">
        <f t="shared" si="132"/>
        <v>4289.46</v>
      </c>
      <c r="U1432">
        <f t="shared" si="133"/>
        <v>428.94600000000003</v>
      </c>
      <c r="V1432">
        <f t="shared" si="134"/>
        <v>3860.5140000000001</v>
      </c>
      <c r="W1432">
        <f t="shared" si="135"/>
        <v>2</v>
      </c>
      <c r="X1432">
        <f t="shared" si="136"/>
        <v>-428.94599999999991</v>
      </c>
      <c r="Y1432">
        <f t="shared" si="137"/>
        <v>0</v>
      </c>
    </row>
    <row r="1433" spans="1:25" x14ac:dyDescent="0.35">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c r="T1433">
        <f t="shared" si="132"/>
        <v>141.61000000000001</v>
      </c>
      <c r="U1433">
        <f t="shared" si="133"/>
        <v>7.0805000000000007</v>
      </c>
      <c r="V1433">
        <f t="shared" si="134"/>
        <v>134.52950000000001</v>
      </c>
      <c r="W1433">
        <f t="shared" si="135"/>
        <v>3</v>
      </c>
      <c r="X1433">
        <f t="shared" si="136"/>
        <v>-7.0805000000000007</v>
      </c>
      <c r="Y1433">
        <f t="shared" si="137"/>
        <v>0</v>
      </c>
    </row>
    <row r="1434" spans="1:25" x14ac:dyDescent="0.35">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c r="T1434">
        <f t="shared" si="132"/>
        <v>2081.16</v>
      </c>
      <c r="U1434">
        <f t="shared" si="133"/>
        <v>104.05799999999999</v>
      </c>
      <c r="V1434">
        <f t="shared" si="134"/>
        <v>1977.1019999999999</v>
      </c>
      <c r="W1434">
        <f t="shared" si="135"/>
        <v>8</v>
      </c>
      <c r="X1434">
        <f t="shared" si="136"/>
        <v>-104.05799999999999</v>
      </c>
      <c r="Y1434">
        <f t="shared" si="137"/>
        <v>0</v>
      </c>
    </row>
    <row r="1435" spans="1:25" x14ac:dyDescent="0.35">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c r="T1435">
        <f t="shared" si="132"/>
        <v>3125.64</v>
      </c>
      <c r="U1435">
        <f t="shared" si="133"/>
        <v>312.56400000000002</v>
      </c>
      <c r="V1435">
        <f t="shared" si="134"/>
        <v>2813.076</v>
      </c>
      <c r="W1435">
        <f t="shared" si="135"/>
        <v>3</v>
      </c>
      <c r="X1435">
        <f t="shared" si="136"/>
        <v>-312.56399999999985</v>
      </c>
      <c r="Y1435">
        <f t="shared" si="137"/>
        <v>0</v>
      </c>
    </row>
    <row r="1436" spans="1:25" x14ac:dyDescent="0.35">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c r="T1436">
        <f t="shared" si="132"/>
        <v>3174.6000000000004</v>
      </c>
      <c r="U1436">
        <f t="shared" si="133"/>
        <v>0</v>
      </c>
      <c r="V1436">
        <f t="shared" si="134"/>
        <v>3174.6000000000004</v>
      </c>
      <c r="W1436">
        <f t="shared" si="135"/>
        <v>7</v>
      </c>
      <c r="X1436">
        <f t="shared" si="136"/>
        <v>0</v>
      </c>
      <c r="Y1436">
        <f t="shared" si="137"/>
        <v>0</v>
      </c>
    </row>
    <row r="1437" spans="1:25" x14ac:dyDescent="0.35">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c r="T1437">
        <f t="shared" si="132"/>
        <v>1070.74</v>
      </c>
      <c r="U1437">
        <f t="shared" si="133"/>
        <v>107.07400000000001</v>
      </c>
      <c r="V1437">
        <f t="shared" si="134"/>
        <v>963.66599999999994</v>
      </c>
      <c r="W1437">
        <f t="shared" si="135"/>
        <v>3</v>
      </c>
      <c r="X1437">
        <f t="shared" si="136"/>
        <v>-107.07400000000007</v>
      </c>
      <c r="Y1437">
        <f t="shared" si="137"/>
        <v>0</v>
      </c>
    </row>
    <row r="1438" spans="1:25" x14ac:dyDescent="0.35">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c r="T1438">
        <f t="shared" si="132"/>
        <v>4651.79</v>
      </c>
      <c r="U1438">
        <f t="shared" si="133"/>
        <v>465.17900000000003</v>
      </c>
      <c r="V1438">
        <f t="shared" si="134"/>
        <v>4186.6109999999999</v>
      </c>
      <c r="W1438">
        <f t="shared" si="135"/>
        <v>2</v>
      </c>
      <c r="X1438">
        <f t="shared" si="136"/>
        <v>-465.17900000000009</v>
      </c>
      <c r="Y1438">
        <f t="shared" si="137"/>
        <v>0</v>
      </c>
    </row>
    <row r="1439" spans="1:25" x14ac:dyDescent="0.35">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c r="T1439">
        <f t="shared" si="132"/>
        <v>2228.6799999999998</v>
      </c>
      <c r="U1439">
        <f t="shared" si="133"/>
        <v>111.434</v>
      </c>
      <c r="V1439">
        <f t="shared" si="134"/>
        <v>2117.2459999999996</v>
      </c>
      <c r="W1439">
        <f t="shared" si="135"/>
        <v>9</v>
      </c>
      <c r="X1439">
        <f t="shared" si="136"/>
        <v>-111.4340000000002</v>
      </c>
      <c r="Y1439">
        <f t="shared" si="137"/>
        <v>0</v>
      </c>
    </row>
    <row r="1440" spans="1:25" x14ac:dyDescent="0.35">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c r="T1440">
        <f t="shared" si="132"/>
        <v>4136.8499999999995</v>
      </c>
      <c r="U1440">
        <f t="shared" si="133"/>
        <v>413.68499999999995</v>
      </c>
      <c r="V1440">
        <f t="shared" si="134"/>
        <v>3723.1649999999995</v>
      </c>
      <c r="W1440">
        <f t="shared" si="135"/>
        <v>8</v>
      </c>
      <c r="X1440">
        <f t="shared" si="136"/>
        <v>-413.68499999999995</v>
      </c>
      <c r="Y1440">
        <f t="shared" si="137"/>
        <v>0</v>
      </c>
    </row>
    <row r="1441" spans="1:25" x14ac:dyDescent="0.35">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c r="T1441">
        <f t="shared" si="132"/>
        <v>3946.8</v>
      </c>
      <c r="U1441">
        <f t="shared" si="133"/>
        <v>394.68000000000006</v>
      </c>
      <c r="V1441">
        <f t="shared" si="134"/>
        <v>3552.12</v>
      </c>
      <c r="W1441">
        <f t="shared" si="135"/>
        <v>4</v>
      </c>
      <c r="X1441">
        <f t="shared" si="136"/>
        <v>-394.68000000000029</v>
      </c>
      <c r="Y1441">
        <f t="shared" si="137"/>
        <v>0</v>
      </c>
    </row>
    <row r="1442" spans="1:25" x14ac:dyDescent="0.35">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c r="T1442">
        <f t="shared" si="132"/>
        <v>5571.67</v>
      </c>
      <c r="U1442">
        <f t="shared" si="133"/>
        <v>0</v>
      </c>
      <c r="V1442">
        <f t="shared" si="134"/>
        <v>5571.67</v>
      </c>
      <c r="W1442">
        <f t="shared" si="135"/>
        <v>8</v>
      </c>
      <c r="X1442">
        <f t="shared" si="136"/>
        <v>0</v>
      </c>
      <c r="Y1442">
        <f t="shared" si="137"/>
        <v>0</v>
      </c>
    </row>
    <row r="1443" spans="1:25" x14ac:dyDescent="0.35">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c r="T1443">
        <f t="shared" si="132"/>
        <v>1694.77</v>
      </c>
      <c r="U1443">
        <f t="shared" si="133"/>
        <v>84.738500000000002</v>
      </c>
      <c r="V1443">
        <f t="shared" si="134"/>
        <v>1610.0315000000001</v>
      </c>
      <c r="W1443">
        <f t="shared" si="135"/>
        <v>5</v>
      </c>
      <c r="X1443">
        <f t="shared" si="136"/>
        <v>-84.738499999999931</v>
      </c>
      <c r="Y1443">
        <f t="shared" si="137"/>
        <v>0</v>
      </c>
    </row>
    <row r="1444" spans="1:25" x14ac:dyDescent="0.35">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c r="T1444">
        <f t="shared" si="132"/>
        <v>8115.46</v>
      </c>
      <c r="U1444">
        <f t="shared" si="133"/>
        <v>405.77300000000002</v>
      </c>
      <c r="V1444">
        <f t="shared" si="134"/>
        <v>7709.6869999999999</v>
      </c>
      <c r="W1444">
        <f t="shared" si="135"/>
        <v>7</v>
      </c>
      <c r="X1444">
        <f t="shared" si="136"/>
        <v>-405.77300000000014</v>
      </c>
      <c r="Y1444">
        <f t="shared" si="137"/>
        <v>0</v>
      </c>
    </row>
    <row r="1445" spans="1:25" x14ac:dyDescent="0.35">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c r="T1445">
        <f t="shared" si="132"/>
        <v>784.80000000000007</v>
      </c>
      <c r="U1445">
        <f t="shared" si="133"/>
        <v>39.240000000000009</v>
      </c>
      <c r="V1445">
        <f t="shared" si="134"/>
        <v>745.56000000000006</v>
      </c>
      <c r="W1445">
        <f t="shared" si="135"/>
        <v>10</v>
      </c>
      <c r="X1445">
        <f t="shared" si="136"/>
        <v>-39.240000000000009</v>
      </c>
      <c r="Y1445">
        <f t="shared" si="137"/>
        <v>0</v>
      </c>
    </row>
    <row r="1446" spans="1:25" x14ac:dyDescent="0.35">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c r="T1446">
        <f t="shared" si="132"/>
        <v>2497.1999999999998</v>
      </c>
      <c r="U1446">
        <f t="shared" si="133"/>
        <v>124.86</v>
      </c>
      <c r="V1446">
        <f t="shared" si="134"/>
        <v>2372.3399999999997</v>
      </c>
      <c r="W1446">
        <f t="shared" si="135"/>
        <v>4</v>
      </c>
      <c r="X1446">
        <f t="shared" si="136"/>
        <v>-124.86000000000013</v>
      </c>
      <c r="Y1446">
        <f t="shared" si="137"/>
        <v>0</v>
      </c>
    </row>
    <row r="1447" spans="1:25" x14ac:dyDescent="0.35">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c r="T1447">
        <f t="shared" si="132"/>
        <v>1494.8999999999999</v>
      </c>
      <c r="U1447">
        <f t="shared" si="133"/>
        <v>0</v>
      </c>
      <c r="V1447">
        <f t="shared" si="134"/>
        <v>1494.8999999999999</v>
      </c>
      <c r="W1447">
        <f t="shared" si="135"/>
        <v>10</v>
      </c>
      <c r="X1447">
        <f t="shared" si="136"/>
        <v>0</v>
      </c>
      <c r="Y1447">
        <f t="shared" si="137"/>
        <v>0</v>
      </c>
    </row>
    <row r="1448" spans="1:25" x14ac:dyDescent="0.35">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c r="T1448">
        <f t="shared" si="132"/>
        <v>888.96</v>
      </c>
      <c r="U1448">
        <f t="shared" si="133"/>
        <v>133.34399999999999</v>
      </c>
      <c r="V1448">
        <f t="shared" si="134"/>
        <v>755.61599999999999</v>
      </c>
      <c r="W1448">
        <f t="shared" si="135"/>
        <v>8</v>
      </c>
      <c r="X1448">
        <f t="shared" si="136"/>
        <v>-133.34400000000005</v>
      </c>
      <c r="Y1448">
        <f t="shared" si="137"/>
        <v>0</v>
      </c>
    </row>
    <row r="1449" spans="1:25" x14ac:dyDescent="0.35">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c r="T1449">
        <f t="shared" si="132"/>
        <v>4869.3999999999996</v>
      </c>
      <c r="U1449">
        <f t="shared" si="133"/>
        <v>243.47</v>
      </c>
      <c r="V1449">
        <f t="shared" si="134"/>
        <v>4625.9299999999994</v>
      </c>
      <c r="W1449">
        <f t="shared" si="135"/>
        <v>10</v>
      </c>
      <c r="X1449">
        <f t="shared" si="136"/>
        <v>-243.47000000000025</v>
      </c>
      <c r="Y1449">
        <f t="shared" si="137"/>
        <v>0</v>
      </c>
    </row>
    <row r="1450" spans="1:25" x14ac:dyDescent="0.35">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c r="T1450">
        <f t="shared" si="132"/>
        <v>2041.49</v>
      </c>
      <c r="U1450">
        <f t="shared" si="133"/>
        <v>204.149</v>
      </c>
      <c r="V1450">
        <f t="shared" si="134"/>
        <v>1837.3409999999999</v>
      </c>
      <c r="W1450">
        <f t="shared" si="135"/>
        <v>9</v>
      </c>
      <c r="X1450">
        <f t="shared" si="136"/>
        <v>-204.14900000000011</v>
      </c>
      <c r="Y1450">
        <f t="shared" si="137"/>
        <v>0</v>
      </c>
    </row>
    <row r="1451" spans="1:25" x14ac:dyDescent="0.35">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c r="T1451">
        <f t="shared" si="132"/>
        <v>3821.18</v>
      </c>
      <c r="U1451">
        <f t="shared" si="133"/>
        <v>191.059</v>
      </c>
      <c r="V1451">
        <f t="shared" si="134"/>
        <v>3630.1209999999996</v>
      </c>
      <c r="W1451">
        <f t="shared" si="135"/>
        <v>2</v>
      </c>
      <c r="X1451">
        <f t="shared" si="136"/>
        <v>-191.0590000000002</v>
      </c>
      <c r="Y1451">
        <f t="shared" si="137"/>
        <v>0</v>
      </c>
    </row>
    <row r="1452" spans="1:25" x14ac:dyDescent="0.35">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c r="T1452">
        <f t="shared" si="132"/>
        <v>4770.45</v>
      </c>
      <c r="U1452">
        <f t="shared" si="133"/>
        <v>238.52250000000001</v>
      </c>
      <c r="V1452">
        <f t="shared" si="134"/>
        <v>4531.9274999999998</v>
      </c>
      <c r="W1452">
        <f t="shared" si="135"/>
        <v>6</v>
      </c>
      <c r="X1452">
        <f t="shared" si="136"/>
        <v>-238.52250000000004</v>
      </c>
      <c r="Y1452">
        <f t="shared" si="137"/>
        <v>0</v>
      </c>
    </row>
    <row r="1453" spans="1:25" x14ac:dyDescent="0.35">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c r="T1453">
        <f t="shared" si="132"/>
        <v>3635.25</v>
      </c>
      <c r="U1453">
        <f t="shared" si="133"/>
        <v>545.28750000000002</v>
      </c>
      <c r="V1453">
        <f t="shared" si="134"/>
        <v>3089.9625000000001</v>
      </c>
      <c r="W1453">
        <f t="shared" si="135"/>
        <v>7</v>
      </c>
      <c r="X1453">
        <f t="shared" si="136"/>
        <v>-545.28749999999991</v>
      </c>
      <c r="Y1453">
        <f t="shared" si="137"/>
        <v>0</v>
      </c>
    </row>
    <row r="1454" spans="1:25" x14ac:dyDescent="0.35">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c r="T1454">
        <f t="shared" si="132"/>
        <v>246.27</v>
      </c>
      <c r="U1454">
        <f t="shared" si="133"/>
        <v>36.9405</v>
      </c>
      <c r="V1454">
        <f t="shared" si="134"/>
        <v>209.3295</v>
      </c>
      <c r="W1454">
        <f t="shared" si="135"/>
        <v>9</v>
      </c>
      <c r="X1454">
        <f t="shared" si="136"/>
        <v>-36.940500000000014</v>
      </c>
      <c r="Y1454">
        <f t="shared" si="137"/>
        <v>0</v>
      </c>
    </row>
    <row r="1455" spans="1:25" x14ac:dyDescent="0.35">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c r="T1455">
        <f t="shared" si="132"/>
        <v>2857.3</v>
      </c>
      <c r="U1455">
        <f t="shared" si="133"/>
        <v>428.59500000000003</v>
      </c>
      <c r="V1455">
        <f t="shared" si="134"/>
        <v>2428.7049999999999</v>
      </c>
      <c r="W1455">
        <f t="shared" si="135"/>
        <v>6</v>
      </c>
      <c r="X1455">
        <f t="shared" si="136"/>
        <v>-428.59500000000025</v>
      </c>
      <c r="Y1455">
        <f t="shared" si="137"/>
        <v>0</v>
      </c>
    </row>
    <row r="1456" spans="1:25" x14ac:dyDescent="0.35">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c r="T1456">
        <f t="shared" si="132"/>
        <v>5805.84</v>
      </c>
      <c r="U1456">
        <f t="shared" si="133"/>
        <v>580.58400000000006</v>
      </c>
      <c r="V1456">
        <f t="shared" si="134"/>
        <v>5225.2560000000003</v>
      </c>
      <c r="W1456">
        <f t="shared" si="135"/>
        <v>7</v>
      </c>
      <c r="X1456">
        <f t="shared" si="136"/>
        <v>-580.58399999999983</v>
      </c>
      <c r="Y1456">
        <f t="shared" si="137"/>
        <v>0</v>
      </c>
    </row>
    <row r="1457" spans="1:25" x14ac:dyDescent="0.35">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c r="T1457">
        <f t="shared" si="132"/>
        <v>3029.6</v>
      </c>
      <c r="U1457">
        <f t="shared" si="133"/>
        <v>302.95999999999998</v>
      </c>
      <c r="V1457">
        <f t="shared" si="134"/>
        <v>2726.64</v>
      </c>
      <c r="W1457">
        <f t="shared" si="135"/>
        <v>2</v>
      </c>
      <c r="X1457">
        <f t="shared" si="136"/>
        <v>-302.96000000000004</v>
      </c>
      <c r="Y1457">
        <f t="shared" si="137"/>
        <v>0</v>
      </c>
    </row>
    <row r="1458" spans="1:25" x14ac:dyDescent="0.35">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c r="T1458">
        <f t="shared" si="132"/>
        <v>3708.16</v>
      </c>
      <c r="U1458">
        <f t="shared" si="133"/>
        <v>556.22399999999993</v>
      </c>
      <c r="V1458">
        <f t="shared" si="134"/>
        <v>3151.9359999999997</v>
      </c>
      <c r="W1458">
        <f t="shared" si="135"/>
        <v>4</v>
      </c>
      <c r="X1458">
        <f t="shared" si="136"/>
        <v>-556.22400000000016</v>
      </c>
      <c r="Y1458">
        <f t="shared" si="137"/>
        <v>0</v>
      </c>
    </row>
    <row r="1459" spans="1:25" x14ac:dyDescent="0.35">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c r="T1459">
        <f t="shared" si="132"/>
        <v>430.28999999999996</v>
      </c>
      <c r="U1459">
        <f t="shared" si="133"/>
        <v>64.543499999999995</v>
      </c>
      <c r="V1459">
        <f t="shared" si="134"/>
        <v>365.74649999999997</v>
      </c>
      <c r="W1459">
        <f t="shared" si="135"/>
        <v>10</v>
      </c>
      <c r="X1459">
        <f t="shared" si="136"/>
        <v>-64.543499999999995</v>
      </c>
      <c r="Y1459">
        <f t="shared" si="137"/>
        <v>0</v>
      </c>
    </row>
    <row r="1460" spans="1:25" x14ac:dyDescent="0.35">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c r="T1460">
        <f t="shared" si="132"/>
        <v>6516.6</v>
      </c>
      <c r="U1460">
        <f t="shared" si="133"/>
        <v>0</v>
      </c>
      <c r="V1460">
        <f t="shared" si="134"/>
        <v>6516.6</v>
      </c>
      <c r="W1460">
        <f t="shared" si="135"/>
        <v>9</v>
      </c>
      <c r="X1460">
        <f t="shared" si="136"/>
        <v>0</v>
      </c>
      <c r="Y1460">
        <f t="shared" si="137"/>
        <v>0</v>
      </c>
    </row>
    <row r="1461" spans="1:25" x14ac:dyDescent="0.35">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c r="T1461">
        <f t="shared" si="132"/>
        <v>7744.16</v>
      </c>
      <c r="U1461">
        <f t="shared" si="133"/>
        <v>0</v>
      </c>
      <c r="V1461">
        <f t="shared" si="134"/>
        <v>7744.16</v>
      </c>
      <c r="W1461">
        <f t="shared" si="135"/>
        <v>6</v>
      </c>
      <c r="X1461">
        <f t="shared" si="136"/>
        <v>0</v>
      </c>
      <c r="Y1461">
        <f t="shared" si="137"/>
        <v>0</v>
      </c>
    </row>
    <row r="1462" spans="1:25" x14ac:dyDescent="0.35">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c r="T1462">
        <f t="shared" si="132"/>
        <v>110.16</v>
      </c>
      <c r="U1462">
        <f t="shared" si="133"/>
        <v>0</v>
      </c>
      <c r="V1462">
        <f t="shared" si="134"/>
        <v>110.16</v>
      </c>
      <c r="W1462">
        <f t="shared" si="135"/>
        <v>4</v>
      </c>
      <c r="X1462">
        <f t="shared" si="136"/>
        <v>0</v>
      </c>
      <c r="Y1462">
        <f t="shared" si="137"/>
        <v>0</v>
      </c>
    </row>
    <row r="1463" spans="1:25" x14ac:dyDescent="0.35">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c r="T1463">
        <f t="shared" si="132"/>
        <v>2904.72</v>
      </c>
      <c r="U1463">
        <f t="shared" si="133"/>
        <v>435.70799999999997</v>
      </c>
      <c r="V1463">
        <f t="shared" si="134"/>
        <v>2469.0119999999997</v>
      </c>
      <c r="W1463">
        <f t="shared" si="135"/>
        <v>7</v>
      </c>
      <c r="X1463">
        <f t="shared" si="136"/>
        <v>-435.70800000000008</v>
      </c>
      <c r="Y1463">
        <f t="shared" si="137"/>
        <v>0</v>
      </c>
    </row>
    <row r="1464" spans="1:25" x14ac:dyDescent="0.35">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c r="T1464">
        <f t="shared" si="132"/>
        <v>6028.88</v>
      </c>
      <c r="U1464">
        <f t="shared" si="133"/>
        <v>301.44400000000002</v>
      </c>
      <c r="V1464">
        <f t="shared" si="134"/>
        <v>5727.4359999999997</v>
      </c>
      <c r="W1464">
        <f t="shared" si="135"/>
        <v>10</v>
      </c>
      <c r="X1464">
        <f t="shared" si="136"/>
        <v>-301.44400000000041</v>
      </c>
      <c r="Y1464">
        <f t="shared" si="137"/>
        <v>0</v>
      </c>
    </row>
    <row r="1465" spans="1:25" x14ac:dyDescent="0.35">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c r="T1465">
        <f t="shared" si="132"/>
        <v>1470.04</v>
      </c>
      <c r="U1465">
        <f t="shared" si="133"/>
        <v>0</v>
      </c>
      <c r="V1465">
        <f t="shared" si="134"/>
        <v>1470.04</v>
      </c>
      <c r="W1465">
        <f t="shared" si="135"/>
        <v>5</v>
      </c>
      <c r="X1465">
        <f t="shared" si="136"/>
        <v>0</v>
      </c>
      <c r="Y1465">
        <f t="shared" si="137"/>
        <v>0</v>
      </c>
    </row>
    <row r="1466" spans="1:25" x14ac:dyDescent="0.35">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c r="T1466">
        <f t="shared" si="132"/>
        <v>7008.1500000000005</v>
      </c>
      <c r="U1466">
        <f t="shared" si="133"/>
        <v>700.81500000000005</v>
      </c>
      <c r="V1466">
        <f t="shared" si="134"/>
        <v>6307.3350000000009</v>
      </c>
      <c r="W1466">
        <f t="shared" si="135"/>
        <v>5</v>
      </c>
      <c r="X1466">
        <f t="shared" si="136"/>
        <v>-700.8149999999996</v>
      </c>
      <c r="Y1466">
        <f t="shared" si="137"/>
        <v>0</v>
      </c>
    </row>
    <row r="1467" spans="1:25" x14ac:dyDescent="0.35">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c r="T1467">
        <f t="shared" si="132"/>
        <v>1623.72</v>
      </c>
      <c r="U1467">
        <f t="shared" si="133"/>
        <v>0</v>
      </c>
      <c r="V1467">
        <f t="shared" si="134"/>
        <v>1623.72</v>
      </c>
      <c r="W1467">
        <f t="shared" si="135"/>
        <v>2</v>
      </c>
      <c r="X1467">
        <f t="shared" si="136"/>
        <v>0</v>
      </c>
      <c r="Y1467">
        <f t="shared" si="137"/>
        <v>0</v>
      </c>
    </row>
    <row r="1468" spans="1:25" x14ac:dyDescent="0.35">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c r="T1468">
        <f t="shared" si="132"/>
        <v>495.36</v>
      </c>
      <c r="U1468">
        <f t="shared" si="133"/>
        <v>74.304000000000002</v>
      </c>
      <c r="V1468">
        <f t="shared" si="134"/>
        <v>421.05600000000004</v>
      </c>
      <c r="W1468">
        <f t="shared" si="135"/>
        <v>6</v>
      </c>
      <c r="X1468">
        <f t="shared" si="136"/>
        <v>-74.303999999999974</v>
      </c>
      <c r="Y1468">
        <f t="shared" si="137"/>
        <v>0</v>
      </c>
    </row>
    <row r="1469" spans="1:25" x14ac:dyDescent="0.35">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c r="T1469">
        <f t="shared" si="132"/>
        <v>638.16</v>
      </c>
      <c r="U1469">
        <f t="shared" si="133"/>
        <v>31.908000000000001</v>
      </c>
      <c r="V1469">
        <f t="shared" si="134"/>
        <v>606.25199999999995</v>
      </c>
      <c r="W1469">
        <f t="shared" si="135"/>
        <v>6</v>
      </c>
      <c r="X1469">
        <f t="shared" si="136"/>
        <v>-31.908000000000015</v>
      </c>
      <c r="Y1469">
        <f t="shared" si="137"/>
        <v>0</v>
      </c>
    </row>
    <row r="1470" spans="1:25" x14ac:dyDescent="0.35">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c r="T1470">
        <f t="shared" si="132"/>
        <v>2252.25</v>
      </c>
      <c r="U1470">
        <f t="shared" si="133"/>
        <v>0</v>
      </c>
      <c r="V1470">
        <f t="shared" si="134"/>
        <v>2252.25</v>
      </c>
      <c r="W1470">
        <f t="shared" si="135"/>
        <v>10</v>
      </c>
      <c r="X1470">
        <f t="shared" si="136"/>
        <v>0</v>
      </c>
      <c r="Y1470">
        <f t="shared" si="137"/>
        <v>0</v>
      </c>
    </row>
    <row r="1471" spans="1:25" x14ac:dyDescent="0.35">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c r="T1471">
        <f t="shared" si="132"/>
        <v>521.37</v>
      </c>
      <c r="U1471">
        <f t="shared" si="133"/>
        <v>0</v>
      </c>
      <c r="V1471">
        <f t="shared" si="134"/>
        <v>521.37</v>
      </c>
      <c r="W1471">
        <f t="shared" si="135"/>
        <v>2</v>
      </c>
      <c r="X1471">
        <f t="shared" si="136"/>
        <v>0</v>
      </c>
      <c r="Y1471">
        <f t="shared" si="137"/>
        <v>0</v>
      </c>
    </row>
    <row r="1472" spans="1:25" x14ac:dyDescent="0.35">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c r="T1472">
        <f t="shared" si="132"/>
        <v>1754.32</v>
      </c>
      <c r="U1472">
        <f t="shared" si="133"/>
        <v>87.716000000000008</v>
      </c>
      <c r="V1472">
        <f t="shared" si="134"/>
        <v>1666.6039999999998</v>
      </c>
      <c r="W1472">
        <f t="shared" si="135"/>
        <v>4</v>
      </c>
      <c r="X1472">
        <f t="shared" si="136"/>
        <v>-87.716000000000122</v>
      </c>
      <c r="Y1472">
        <f t="shared" si="137"/>
        <v>0</v>
      </c>
    </row>
    <row r="1473" spans="1:25" x14ac:dyDescent="0.35">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c r="T1473">
        <f t="shared" si="132"/>
        <v>3217.44</v>
      </c>
      <c r="U1473">
        <f t="shared" si="133"/>
        <v>0</v>
      </c>
      <c r="V1473">
        <f t="shared" si="134"/>
        <v>3217.44</v>
      </c>
      <c r="W1473">
        <f t="shared" si="135"/>
        <v>2</v>
      </c>
      <c r="X1473">
        <f t="shared" si="136"/>
        <v>0</v>
      </c>
      <c r="Y1473">
        <f t="shared" si="137"/>
        <v>0</v>
      </c>
    </row>
    <row r="1474" spans="1:25" x14ac:dyDescent="0.35">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c r="T1474">
        <f t="shared" si="132"/>
        <v>8895.4</v>
      </c>
      <c r="U1474">
        <f t="shared" si="133"/>
        <v>889.54</v>
      </c>
      <c r="V1474">
        <f t="shared" si="134"/>
        <v>8005.86</v>
      </c>
      <c r="W1474">
        <f t="shared" si="135"/>
        <v>7</v>
      </c>
      <c r="X1474">
        <f t="shared" si="136"/>
        <v>-889.54</v>
      </c>
      <c r="Y1474">
        <f t="shared" si="137"/>
        <v>0</v>
      </c>
    </row>
    <row r="1475" spans="1:25" x14ac:dyDescent="0.35">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c r="T1475">
        <f t="shared" ref="T1475:T1501" si="138">D1475*E1475</f>
        <v>2121</v>
      </c>
      <c r="U1475">
        <f t="shared" ref="U1475:U1501" si="139">T1475*H1475</f>
        <v>318.14999999999998</v>
      </c>
      <c r="V1475">
        <f t="shared" ref="V1475:V1501" si="140">T1475-U1475</f>
        <v>1802.85</v>
      </c>
      <c r="W1475">
        <f t="shared" ref="W1475:W1501" si="141">R1475-Q1475</f>
        <v>8</v>
      </c>
      <c r="X1475">
        <f t="shared" ref="X1475:X1501" si="142">V1475-(E1475*D1475)</f>
        <v>-318.15000000000009</v>
      </c>
      <c r="Y1475">
        <f t="shared" ref="Y1475:Y1501" si="143">IF(M1475 = "Yes", -V1475,0)</f>
        <v>0</v>
      </c>
    </row>
    <row r="1476" spans="1:25" x14ac:dyDescent="0.35">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c r="T1476">
        <f t="shared" si="138"/>
        <v>4584.96</v>
      </c>
      <c r="U1476">
        <f t="shared" si="139"/>
        <v>687.74400000000003</v>
      </c>
      <c r="V1476">
        <f t="shared" si="140"/>
        <v>3897.2159999999999</v>
      </c>
      <c r="W1476">
        <f t="shared" si="141"/>
        <v>9</v>
      </c>
      <c r="X1476">
        <f t="shared" si="142"/>
        <v>-687.74400000000014</v>
      </c>
      <c r="Y1476">
        <f t="shared" si="143"/>
        <v>0</v>
      </c>
    </row>
    <row r="1477" spans="1:25" x14ac:dyDescent="0.35">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c r="T1477">
        <f t="shared" si="138"/>
        <v>1889.36</v>
      </c>
      <c r="U1477">
        <f t="shared" si="139"/>
        <v>283.404</v>
      </c>
      <c r="V1477">
        <f t="shared" si="140"/>
        <v>1605.9559999999999</v>
      </c>
      <c r="W1477">
        <f t="shared" si="141"/>
        <v>8</v>
      </c>
      <c r="X1477">
        <f t="shared" si="142"/>
        <v>-283.404</v>
      </c>
      <c r="Y1477">
        <f t="shared" si="143"/>
        <v>0</v>
      </c>
    </row>
    <row r="1478" spans="1:25" x14ac:dyDescent="0.35">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c r="T1478">
        <f t="shared" si="138"/>
        <v>147.4</v>
      </c>
      <c r="U1478">
        <f t="shared" si="139"/>
        <v>0</v>
      </c>
      <c r="V1478">
        <f t="shared" si="140"/>
        <v>147.4</v>
      </c>
      <c r="W1478">
        <f t="shared" si="141"/>
        <v>7</v>
      </c>
      <c r="X1478">
        <f t="shared" si="142"/>
        <v>0</v>
      </c>
      <c r="Y1478">
        <f t="shared" si="143"/>
        <v>0</v>
      </c>
    </row>
    <row r="1479" spans="1:25" x14ac:dyDescent="0.35">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c r="T1479">
        <f t="shared" si="138"/>
        <v>2237.92</v>
      </c>
      <c r="U1479">
        <f t="shared" si="139"/>
        <v>111.89600000000002</v>
      </c>
      <c r="V1479">
        <f t="shared" si="140"/>
        <v>2126.0239999999999</v>
      </c>
      <c r="W1479">
        <f t="shared" si="141"/>
        <v>7</v>
      </c>
      <c r="X1479">
        <f t="shared" si="142"/>
        <v>-111.89600000000019</v>
      </c>
      <c r="Y1479">
        <f t="shared" si="143"/>
        <v>0</v>
      </c>
    </row>
    <row r="1480" spans="1:25" x14ac:dyDescent="0.35">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c r="T1480">
        <f t="shared" si="138"/>
        <v>913.83</v>
      </c>
      <c r="U1480">
        <f t="shared" si="139"/>
        <v>45.691500000000005</v>
      </c>
      <c r="V1480">
        <f t="shared" si="140"/>
        <v>868.13850000000002</v>
      </c>
      <c r="W1480">
        <f t="shared" si="141"/>
        <v>4</v>
      </c>
      <c r="X1480">
        <f t="shared" si="142"/>
        <v>-45.691500000000019</v>
      </c>
      <c r="Y1480">
        <f t="shared" si="143"/>
        <v>0</v>
      </c>
    </row>
    <row r="1481" spans="1:25" x14ac:dyDescent="0.35">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c r="T1481">
        <f t="shared" si="138"/>
        <v>2144.88</v>
      </c>
      <c r="U1481">
        <f t="shared" si="139"/>
        <v>0</v>
      </c>
      <c r="V1481">
        <f t="shared" si="140"/>
        <v>2144.88</v>
      </c>
      <c r="W1481">
        <f t="shared" si="141"/>
        <v>9</v>
      </c>
      <c r="X1481">
        <f t="shared" si="142"/>
        <v>0</v>
      </c>
      <c r="Y1481">
        <f t="shared" si="143"/>
        <v>0</v>
      </c>
    </row>
    <row r="1482" spans="1:25" x14ac:dyDescent="0.35">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c r="T1482">
        <f t="shared" si="138"/>
        <v>7733.92</v>
      </c>
      <c r="U1482">
        <f t="shared" si="139"/>
        <v>773.39200000000005</v>
      </c>
      <c r="V1482">
        <f t="shared" si="140"/>
        <v>6960.5280000000002</v>
      </c>
      <c r="W1482">
        <f t="shared" si="141"/>
        <v>6</v>
      </c>
      <c r="X1482">
        <f t="shared" si="142"/>
        <v>-773.39199999999983</v>
      </c>
      <c r="Y1482">
        <f t="shared" si="143"/>
        <v>0</v>
      </c>
    </row>
    <row r="1483" spans="1:25" x14ac:dyDescent="0.35">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c r="T1483">
        <f t="shared" si="138"/>
        <v>957.18000000000006</v>
      </c>
      <c r="U1483">
        <f t="shared" si="139"/>
        <v>47.859000000000009</v>
      </c>
      <c r="V1483">
        <f t="shared" si="140"/>
        <v>909.32100000000003</v>
      </c>
      <c r="W1483">
        <f t="shared" si="141"/>
        <v>8</v>
      </c>
      <c r="X1483">
        <f t="shared" si="142"/>
        <v>-47.859000000000037</v>
      </c>
      <c r="Y1483">
        <f t="shared" si="143"/>
        <v>0</v>
      </c>
    </row>
    <row r="1484" spans="1:25" x14ac:dyDescent="0.35">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c r="T1484">
        <f t="shared" si="138"/>
        <v>5331.4000000000005</v>
      </c>
      <c r="U1484">
        <f t="shared" si="139"/>
        <v>533.1400000000001</v>
      </c>
      <c r="V1484">
        <f t="shared" si="140"/>
        <v>4798.26</v>
      </c>
      <c r="W1484">
        <f t="shared" si="141"/>
        <v>6</v>
      </c>
      <c r="X1484">
        <f t="shared" si="142"/>
        <v>-533.14000000000033</v>
      </c>
      <c r="Y1484">
        <f t="shared" si="143"/>
        <v>0</v>
      </c>
    </row>
    <row r="1485" spans="1:25" x14ac:dyDescent="0.35">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c r="T1485">
        <f t="shared" si="138"/>
        <v>779.96</v>
      </c>
      <c r="U1485">
        <f t="shared" si="139"/>
        <v>38.998000000000005</v>
      </c>
      <c r="V1485">
        <f t="shared" si="140"/>
        <v>740.96199999999999</v>
      </c>
      <c r="W1485">
        <f t="shared" si="141"/>
        <v>2</v>
      </c>
      <c r="X1485">
        <f t="shared" si="142"/>
        <v>-38.998000000000047</v>
      </c>
      <c r="Y1485">
        <f t="shared" si="143"/>
        <v>0</v>
      </c>
    </row>
    <row r="1486" spans="1:25" x14ac:dyDescent="0.35">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c r="T1486">
        <f t="shared" si="138"/>
        <v>8250.1</v>
      </c>
      <c r="U1486">
        <f t="shared" si="139"/>
        <v>1237.5150000000001</v>
      </c>
      <c r="V1486">
        <f t="shared" si="140"/>
        <v>7012.585</v>
      </c>
      <c r="W1486">
        <f t="shared" si="141"/>
        <v>7</v>
      </c>
      <c r="X1486">
        <f t="shared" si="142"/>
        <v>-1237.5150000000003</v>
      </c>
      <c r="Y1486">
        <f t="shared" si="143"/>
        <v>0</v>
      </c>
    </row>
    <row r="1487" spans="1:25" x14ac:dyDescent="0.35">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c r="T1487">
        <f t="shared" si="138"/>
        <v>1888.96</v>
      </c>
      <c r="U1487">
        <f t="shared" si="139"/>
        <v>0</v>
      </c>
      <c r="V1487">
        <f t="shared" si="140"/>
        <v>1888.96</v>
      </c>
      <c r="W1487">
        <f t="shared" si="141"/>
        <v>5</v>
      </c>
      <c r="X1487">
        <f t="shared" si="142"/>
        <v>0</v>
      </c>
      <c r="Y1487">
        <f t="shared" si="143"/>
        <v>0</v>
      </c>
    </row>
    <row r="1488" spans="1:25" x14ac:dyDescent="0.35">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c r="T1488">
        <f t="shared" si="138"/>
        <v>1148.24</v>
      </c>
      <c r="U1488">
        <f t="shared" si="139"/>
        <v>0</v>
      </c>
      <c r="V1488">
        <f t="shared" si="140"/>
        <v>1148.24</v>
      </c>
      <c r="W1488">
        <f t="shared" si="141"/>
        <v>6</v>
      </c>
      <c r="X1488">
        <f t="shared" si="142"/>
        <v>0</v>
      </c>
      <c r="Y1488">
        <f t="shared" si="143"/>
        <v>0</v>
      </c>
    </row>
    <row r="1489" spans="1:25" x14ac:dyDescent="0.35">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c r="T1489">
        <f t="shared" si="138"/>
        <v>799.59999999999991</v>
      </c>
      <c r="U1489">
        <f t="shared" si="139"/>
        <v>0</v>
      </c>
      <c r="V1489">
        <f t="shared" si="140"/>
        <v>799.59999999999991</v>
      </c>
      <c r="W1489">
        <f t="shared" si="141"/>
        <v>7</v>
      </c>
      <c r="X1489">
        <f t="shared" si="142"/>
        <v>0</v>
      </c>
      <c r="Y1489">
        <f t="shared" si="143"/>
        <v>0</v>
      </c>
    </row>
    <row r="1490" spans="1:25" x14ac:dyDescent="0.35">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c r="T1490">
        <f t="shared" si="138"/>
        <v>5815.42</v>
      </c>
      <c r="U1490">
        <f t="shared" si="139"/>
        <v>290.77100000000002</v>
      </c>
      <c r="V1490">
        <f t="shared" si="140"/>
        <v>5524.6490000000003</v>
      </c>
      <c r="W1490">
        <f t="shared" si="141"/>
        <v>7</v>
      </c>
      <c r="X1490">
        <f t="shared" si="142"/>
        <v>-290.77099999999973</v>
      </c>
      <c r="Y1490">
        <f t="shared" si="143"/>
        <v>0</v>
      </c>
    </row>
    <row r="1491" spans="1:25" x14ac:dyDescent="0.35">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c r="T1491">
        <f t="shared" si="138"/>
        <v>2558.4</v>
      </c>
      <c r="U1491">
        <f t="shared" si="139"/>
        <v>255.84000000000003</v>
      </c>
      <c r="V1491">
        <f t="shared" si="140"/>
        <v>2302.56</v>
      </c>
      <c r="W1491">
        <f t="shared" si="141"/>
        <v>10</v>
      </c>
      <c r="X1491">
        <f t="shared" si="142"/>
        <v>-255.84000000000015</v>
      </c>
      <c r="Y1491">
        <f t="shared" si="143"/>
        <v>0</v>
      </c>
    </row>
    <row r="1492" spans="1:25" x14ac:dyDescent="0.35">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c r="T1492">
        <f t="shared" si="138"/>
        <v>1457.43</v>
      </c>
      <c r="U1492">
        <f t="shared" si="139"/>
        <v>145.74300000000002</v>
      </c>
      <c r="V1492">
        <f t="shared" si="140"/>
        <v>1311.6870000000001</v>
      </c>
      <c r="W1492">
        <f t="shared" si="141"/>
        <v>2</v>
      </c>
      <c r="X1492">
        <f t="shared" si="142"/>
        <v>-145.74299999999994</v>
      </c>
      <c r="Y1492">
        <f t="shared" si="143"/>
        <v>0</v>
      </c>
    </row>
    <row r="1493" spans="1:25" x14ac:dyDescent="0.35">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c r="T1493">
        <f t="shared" si="138"/>
        <v>2937.92</v>
      </c>
      <c r="U1493">
        <f t="shared" si="139"/>
        <v>146.89600000000002</v>
      </c>
      <c r="V1493">
        <f t="shared" si="140"/>
        <v>2791.0239999999999</v>
      </c>
      <c r="W1493">
        <f t="shared" si="141"/>
        <v>10</v>
      </c>
      <c r="X1493">
        <f t="shared" si="142"/>
        <v>-146.89600000000019</v>
      </c>
      <c r="Y1493">
        <f t="shared" si="143"/>
        <v>0</v>
      </c>
    </row>
    <row r="1494" spans="1:25" x14ac:dyDescent="0.35">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c r="T1494">
        <f t="shared" si="138"/>
        <v>746.14</v>
      </c>
      <c r="U1494">
        <f t="shared" si="139"/>
        <v>37.307000000000002</v>
      </c>
      <c r="V1494">
        <f t="shared" si="140"/>
        <v>708.83299999999997</v>
      </c>
      <c r="W1494">
        <f t="shared" si="141"/>
        <v>4</v>
      </c>
      <c r="X1494">
        <f t="shared" si="142"/>
        <v>-37.307000000000016</v>
      </c>
      <c r="Y1494">
        <f t="shared" si="143"/>
        <v>0</v>
      </c>
    </row>
    <row r="1495" spans="1:25" x14ac:dyDescent="0.35">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c r="T1495">
        <f t="shared" si="138"/>
        <v>8970.56</v>
      </c>
      <c r="U1495">
        <f t="shared" si="139"/>
        <v>0</v>
      </c>
      <c r="V1495">
        <f t="shared" si="140"/>
        <v>8970.56</v>
      </c>
      <c r="W1495">
        <f t="shared" si="141"/>
        <v>8</v>
      </c>
      <c r="X1495">
        <f t="shared" si="142"/>
        <v>0</v>
      </c>
      <c r="Y1495">
        <f t="shared" si="143"/>
        <v>0</v>
      </c>
    </row>
    <row r="1496" spans="1:25" x14ac:dyDescent="0.35">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c r="T1496">
        <f t="shared" si="138"/>
        <v>1006.4499999999999</v>
      </c>
      <c r="U1496">
        <f t="shared" si="139"/>
        <v>0</v>
      </c>
      <c r="V1496">
        <f t="shared" si="140"/>
        <v>1006.4499999999999</v>
      </c>
      <c r="W1496">
        <f t="shared" si="141"/>
        <v>7</v>
      </c>
      <c r="X1496">
        <f t="shared" si="142"/>
        <v>0</v>
      </c>
      <c r="Y1496">
        <f t="shared" si="143"/>
        <v>0</v>
      </c>
    </row>
    <row r="1497" spans="1:25" x14ac:dyDescent="0.35">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c r="T1497">
        <f t="shared" si="138"/>
        <v>1749.28</v>
      </c>
      <c r="U1497">
        <f t="shared" si="139"/>
        <v>87.463999999999999</v>
      </c>
      <c r="V1497">
        <f t="shared" si="140"/>
        <v>1661.816</v>
      </c>
      <c r="W1497">
        <f t="shared" si="141"/>
        <v>5</v>
      </c>
      <c r="X1497">
        <f t="shared" si="142"/>
        <v>-87.463999999999942</v>
      </c>
      <c r="Y1497">
        <f t="shared" si="143"/>
        <v>0</v>
      </c>
    </row>
    <row r="1498" spans="1:25" x14ac:dyDescent="0.35">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c r="T1498">
        <f t="shared" si="138"/>
        <v>3775.5</v>
      </c>
      <c r="U1498">
        <f t="shared" si="139"/>
        <v>566.32499999999993</v>
      </c>
      <c r="V1498">
        <f t="shared" si="140"/>
        <v>3209.1750000000002</v>
      </c>
      <c r="W1498">
        <f t="shared" si="141"/>
        <v>6</v>
      </c>
      <c r="X1498">
        <f t="shared" si="142"/>
        <v>-566.32499999999982</v>
      </c>
      <c r="Y1498">
        <f t="shared" si="143"/>
        <v>0</v>
      </c>
    </row>
    <row r="1499" spans="1:25" x14ac:dyDescent="0.35">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c r="T1499">
        <f t="shared" si="138"/>
        <v>272.5</v>
      </c>
      <c r="U1499">
        <f t="shared" si="139"/>
        <v>0</v>
      </c>
      <c r="V1499">
        <f t="shared" si="140"/>
        <v>272.5</v>
      </c>
      <c r="W1499">
        <f t="shared" si="141"/>
        <v>7</v>
      </c>
      <c r="X1499">
        <f t="shared" si="142"/>
        <v>0</v>
      </c>
      <c r="Y1499">
        <f t="shared" si="143"/>
        <v>0</v>
      </c>
    </row>
    <row r="1500" spans="1:25" x14ac:dyDescent="0.35">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c r="T1500">
        <f t="shared" si="138"/>
        <v>3677.38</v>
      </c>
      <c r="U1500">
        <f t="shared" si="139"/>
        <v>183.86900000000003</v>
      </c>
      <c r="V1500">
        <f t="shared" si="140"/>
        <v>3493.511</v>
      </c>
      <c r="W1500">
        <f t="shared" si="141"/>
        <v>7</v>
      </c>
      <c r="X1500">
        <f t="shared" si="142"/>
        <v>-183.86900000000014</v>
      </c>
      <c r="Y1500">
        <f t="shared" si="143"/>
        <v>0</v>
      </c>
    </row>
    <row r="1501" spans="1:25" x14ac:dyDescent="0.35">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c r="T1501">
        <f t="shared" si="138"/>
        <v>2878.0699999999997</v>
      </c>
      <c r="U1501">
        <f t="shared" si="139"/>
        <v>0</v>
      </c>
      <c r="V1501">
        <f t="shared" si="140"/>
        <v>2878.0699999999997</v>
      </c>
      <c r="W1501">
        <f t="shared" si="141"/>
        <v>4</v>
      </c>
      <c r="X1501">
        <f t="shared" si="142"/>
        <v>0</v>
      </c>
      <c r="Y1501">
        <f t="shared" si="14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dc:creator>
  <cp:lastModifiedBy>Sneha Kumbhar</cp:lastModifiedBy>
  <cp:lastPrinted>2026-02-01T08:23:09Z</cp:lastPrinted>
  <dcterms:created xsi:type="dcterms:W3CDTF">2025-06-21T13:19:11Z</dcterms:created>
  <dcterms:modified xsi:type="dcterms:W3CDTF">2026-02-01T09:02:38Z</dcterms:modified>
</cp:coreProperties>
</file>